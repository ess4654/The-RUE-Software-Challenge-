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use-Pads\company\products\"/>
    </mc:Choice>
  </mc:AlternateContent>
  <xr:revisionPtr revIDLastSave="0" documentId="13_ncr:1_{3A37FB61-C464-4D5F-BB96-00013F07FC50}" xr6:coauthVersionLast="47" xr6:coauthVersionMax="47" xr10:uidLastSave="{00000000-0000-0000-0000-000000000000}"/>
  <bookViews>
    <workbookView xWindow="-108" yWindow="-108" windowWidth="22320" windowHeight="12048" tabRatio="635" xr2:uid="{B40CDFB1-DB7B-4489-BD9F-CCBFFFEFFACF}"/>
  </bookViews>
  <sheets>
    <sheet name="Template" sheetId="2" r:id="rId1"/>
    <sheet name="Kotkey Pads" sheetId="3" r:id="rId2"/>
    <sheet name="Gaming Pads" sheetId="10" r:id="rId3"/>
    <sheet name="Info Pads" sheetId="5" r:id="rId4"/>
    <sheet name="Reference Tables" sheetId="9" r:id="rId5"/>
    <sheet name="Software Suites" sheetId="11" r:id="rId6"/>
    <sheet name="Custom Templates" sheetId="8" r:id="rId7"/>
    <sheet name="Poster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0" l="1"/>
  <c r="H35" i="10" s="1"/>
  <c r="D30" i="10"/>
  <c r="H30" i="10" s="1"/>
  <c r="D31" i="10"/>
  <c r="D32" i="10"/>
  <c r="D33" i="10"/>
  <c r="H33" i="10" s="1"/>
  <c r="D34" i="10"/>
  <c r="H34" i="10" s="1"/>
  <c r="H31" i="10"/>
  <c r="H32" i="10"/>
  <c r="D28" i="10"/>
  <c r="H28" i="10" s="1"/>
  <c r="D23" i="10"/>
  <c r="H23" i="10" s="1"/>
  <c r="D24" i="10"/>
  <c r="H24" i="10" s="1"/>
  <c r="D25" i="10"/>
  <c r="H25" i="10" s="1"/>
  <c r="D26" i="10"/>
  <c r="H26" i="10" s="1"/>
  <c r="D27" i="10"/>
  <c r="H27" i="10" s="1"/>
  <c r="D17" i="10"/>
  <c r="H17" i="10" s="1"/>
  <c r="D18" i="10"/>
  <c r="H18" i="10" s="1"/>
  <c r="D19" i="10"/>
  <c r="H19" i="10" s="1"/>
  <c r="D20" i="10"/>
  <c r="H20" i="10" s="1"/>
  <c r="D21" i="10"/>
  <c r="H21" i="10" s="1"/>
  <c r="D2" i="7"/>
  <c r="D3" i="7"/>
  <c r="H3" i="7" s="1"/>
  <c r="D4" i="7"/>
  <c r="D5" i="7"/>
  <c r="D6" i="7"/>
  <c r="D7" i="7"/>
  <c r="H7" i="7" s="1"/>
  <c r="D8" i="7"/>
  <c r="D9" i="7"/>
  <c r="D10" i="7"/>
  <c r="D11" i="7"/>
  <c r="H11" i="7" s="1"/>
  <c r="D12" i="7"/>
  <c r="H12" i="7" s="1"/>
  <c r="D13" i="7"/>
  <c r="D14" i="7"/>
  <c r="D15" i="7"/>
  <c r="H15" i="7" s="1"/>
  <c r="D16" i="7"/>
  <c r="D2" i="8"/>
  <c r="D3" i="8"/>
  <c r="D4" i="8"/>
  <c r="D5" i="8"/>
  <c r="H5" i="8" s="1"/>
  <c r="D6" i="8"/>
  <c r="D7" i="8"/>
  <c r="D8" i="8"/>
  <c r="D9" i="8"/>
  <c r="D10" i="8"/>
  <c r="D11" i="8"/>
  <c r="H11" i="8" s="1"/>
  <c r="D12" i="8"/>
  <c r="H12" i="8" s="1"/>
  <c r="D13" i="8"/>
  <c r="H13" i="8" s="1"/>
  <c r="D14" i="8"/>
  <c r="D15" i="8"/>
  <c r="H15" i="8" s="1"/>
  <c r="D16" i="8"/>
  <c r="D3" i="9"/>
  <c r="H3" i="9" s="1"/>
  <c r="D4" i="9"/>
  <c r="H4" i="9" s="1"/>
  <c r="D5" i="9"/>
  <c r="H5" i="9" s="1"/>
  <c r="D6" i="9"/>
  <c r="H6" i="9" s="1"/>
  <c r="D7" i="9"/>
  <c r="H7" i="9" s="1"/>
  <c r="D8" i="9"/>
  <c r="H8" i="9" s="1"/>
  <c r="D9" i="9"/>
  <c r="H9" i="9" s="1"/>
  <c r="D10" i="9"/>
  <c r="H10" i="9" s="1"/>
  <c r="D11" i="9"/>
  <c r="H11" i="9" s="1"/>
  <c r="D14" i="9"/>
  <c r="H14" i="9" s="1"/>
  <c r="D15" i="9"/>
  <c r="H15" i="9" s="1"/>
  <c r="D16" i="9"/>
  <c r="H16" i="9" s="1"/>
  <c r="D14" i="5"/>
  <c r="D2" i="5"/>
  <c r="D3" i="5"/>
  <c r="D4" i="5"/>
  <c r="D5" i="5"/>
  <c r="D6" i="5"/>
  <c r="D7" i="5"/>
  <c r="H7" i="5" s="1"/>
  <c r="D8" i="5"/>
  <c r="H8" i="5" s="1"/>
  <c r="D9" i="5"/>
  <c r="D10" i="5"/>
  <c r="D11" i="5"/>
  <c r="D12" i="5"/>
  <c r="H12" i="5" s="1"/>
  <c r="D13" i="5"/>
  <c r="H13" i="5" s="1"/>
  <c r="D15" i="5"/>
  <c r="D16" i="5"/>
  <c r="D14" i="10"/>
  <c r="H14" i="10" s="1"/>
  <c r="D11" i="10"/>
  <c r="H11" i="10" s="1"/>
  <c r="D3" i="10"/>
  <c r="H3" i="10" s="1"/>
  <c r="D2" i="10"/>
  <c r="H2" i="10" s="1"/>
  <c r="D4" i="10"/>
  <c r="H4" i="10" s="1"/>
  <c r="D5" i="10"/>
  <c r="H5" i="10" s="1"/>
  <c r="D6" i="10"/>
  <c r="H6" i="10" s="1"/>
  <c r="D7" i="10"/>
  <c r="H7" i="10" s="1"/>
  <c r="D9" i="10"/>
  <c r="H9" i="10" s="1"/>
  <c r="D10" i="10"/>
  <c r="H10" i="10" s="1"/>
  <c r="D12" i="10"/>
  <c r="H12" i="10" s="1"/>
  <c r="D13" i="10"/>
  <c r="H13" i="10" s="1"/>
  <c r="D16" i="10"/>
  <c r="H16" i="10" s="1"/>
  <c r="D3" i="3"/>
  <c r="D4" i="3"/>
  <c r="D5" i="3"/>
  <c r="D6" i="3"/>
  <c r="D7" i="3"/>
  <c r="D9" i="3"/>
  <c r="D10" i="3"/>
  <c r="D11" i="3"/>
  <c r="H11" i="3" s="1"/>
  <c r="D12" i="3"/>
  <c r="D13" i="3"/>
  <c r="H13" i="3" s="1"/>
  <c r="D14" i="3"/>
  <c r="D16" i="3"/>
  <c r="D17" i="3"/>
  <c r="D18" i="3"/>
  <c r="D19" i="3"/>
  <c r="D20" i="3"/>
  <c r="H20" i="3" s="1"/>
  <c r="D21" i="3"/>
  <c r="D23" i="3"/>
  <c r="H23" i="3" s="1"/>
  <c r="D24" i="3"/>
  <c r="H24" i="3" s="1"/>
  <c r="D25" i="3"/>
  <c r="H25" i="3" s="1"/>
  <c r="D26" i="3"/>
  <c r="D27" i="3"/>
  <c r="D28" i="3"/>
  <c r="D30" i="3"/>
  <c r="D31" i="3"/>
  <c r="D32" i="3"/>
  <c r="D33" i="3"/>
  <c r="D34" i="3"/>
  <c r="H34" i="3" s="1"/>
  <c r="D35" i="3"/>
  <c r="D2" i="3"/>
  <c r="H35" i="3"/>
  <c r="H32" i="3"/>
  <c r="H33" i="3"/>
  <c r="H30" i="3"/>
  <c r="H31" i="3"/>
  <c r="H28" i="3"/>
  <c r="H26" i="3"/>
  <c r="H27" i="3"/>
  <c r="H22" i="3"/>
  <c r="H17" i="3"/>
  <c r="H18" i="3"/>
  <c r="H19" i="3"/>
  <c r="H21" i="3"/>
  <c r="D25" i="11"/>
  <c r="H25" i="11" s="1"/>
  <c r="D26" i="11"/>
  <c r="H26" i="11"/>
  <c r="D27" i="11"/>
  <c r="H27" i="11"/>
  <c r="D28" i="11"/>
  <c r="H28" i="11" s="1"/>
  <c r="D29" i="11"/>
  <c r="H29" i="11" s="1"/>
  <c r="D30" i="11"/>
  <c r="H30" i="11" s="1"/>
  <c r="D32" i="11"/>
  <c r="H32" i="11" s="1"/>
  <c r="D33" i="11"/>
  <c r="H33" i="11" s="1"/>
  <c r="D34" i="11"/>
  <c r="H34" i="11" s="1"/>
  <c r="D22" i="11"/>
  <c r="H22" i="11" s="1"/>
  <c r="D17" i="11"/>
  <c r="H17" i="11" s="1"/>
  <c r="D18" i="11"/>
  <c r="H18" i="11" s="1"/>
  <c r="D19" i="11"/>
  <c r="H19" i="11" s="1"/>
  <c r="D20" i="11"/>
  <c r="H20" i="11" s="1"/>
  <c r="D21" i="11"/>
  <c r="H21" i="11" s="1"/>
  <c r="D3" i="11"/>
  <c r="H3" i="11" s="1"/>
  <c r="D4" i="11"/>
  <c r="H4" i="11" s="1"/>
  <c r="D5" i="11"/>
  <c r="H5" i="11" s="1"/>
  <c r="D6" i="11"/>
  <c r="H6" i="11" s="1"/>
  <c r="D7" i="11"/>
  <c r="H7" i="11" s="1"/>
  <c r="D8" i="11"/>
  <c r="H8" i="11" s="1"/>
  <c r="D10" i="11"/>
  <c r="H10" i="11" s="1"/>
  <c r="D11" i="11"/>
  <c r="H11" i="11" s="1"/>
  <c r="D12" i="11"/>
  <c r="H12" i="11" s="1"/>
  <c r="D13" i="11"/>
  <c r="H13" i="11" s="1"/>
  <c r="D14" i="11"/>
  <c r="H14" i="11" s="1"/>
  <c r="D15" i="11"/>
  <c r="H15" i="11" s="1"/>
  <c r="R29" i="2"/>
  <c r="R30" i="2"/>
  <c r="R31" i="2"/>
  <c r="R32" i="2"/>
  <c r="R33" i="2"/>
  <c r="R28" i="2"/>
  <c r="O28" i="2"/>
  <c r="O29" i="2"/>
  <c r="O30" i="2"/>
  <c r="O31" i="2"/>
  <c r="O32" i="2"/>
  <c r="O33" i="2"/>
  <c r="L33" i="2"/>
  <c r="L29" i="2"/>
  <c r="L30" i="2"/>
  <c r="L31" i="2"/>
  <c r="L32" i="2"/>
  <c r="L28" i="2"/>
  <c r="R20" i="2"/>
  <c r="Q21" i="2"/>
  <c r="R21" i="2" s="1"/>
  <c r="Q22" i="2"/>
  <c r="R22" i="2" s="1"/>
  <c r="Q23" i="2"/>
  <c r="R23" i="2" s="1"/>
  <c r="Q24" i="2"/>
  <c r="R24" i="2" s="1"/>
  <c r="Q25" i="2"/>
  <c r="R25" i="2" s="1"/>
  <c r="Q20" i="2"/>
  <c r="N21" i="2"/>
  <c r="N20" i="2"/>
  <c r="O20" i="2" s="1"/>
  <c r="O21" i="2"/>
  <c r="N22" i="2"/>
  <c r="O22" i="2" s="1"/>
  <c r="N23" i="2"/>
  <c r="O23" i="2" s="1"/>
  <c r="N24" i="2"/>
  <c r="O24" i="2" s="1"/>
  <c r="N25" i="2"/>
  <c r="O25" i="2" s="1"/>
  <c r="F21" i="2"/>
  <c r="K21" i="2" s="1"/>
  <c r="L21" i="2" s="1"/>
  <c r="H21" i="2"/>
  <c r="H22" i="2"/>
  <c r="H23" i="2"/>
  <c r="H24" i="2"/>
  <c r="H25" i="2"/>
  <c r="H20" i="2"/>
  <c r="G21" i="2"/>
  <c r="G22" i="2"/>
  <c r="G23" i="2"/>
  <c r="G24" i="2"/>
  <c r="G25" i="2"/>
  <c r="G20" i="2"/>
  <c r="F22" i="2"/>
  <c r="K22" i="2" s="1"/>
  <c r="L22" i="2" s="1"/>
  <c r="F23" i="2"/>
  <c r="K23" i="2" s="1"/>
  <c r="L23" i="2" s="1"/>
  <c r="F24" i="2"/>
  <c r="K24" i="2" s="1"/>
  <c r="L24" i="2" s="1"/>
  <c r="F25" i="2"/>
  <c r="K25" i="2" s="1"/>
  <c r="L25" i="2" s="1"/>
  <c r="F20" i="2"/>
  <c r="K20" i="2" s="1"/>
  <c r="L20" i="2" s="1"/>
  <c r="H16" i="8"/>
  <c r="H14" i="8"/>
  <c r="H10" i="8"/>
  <c r="H9" i="8"/>
  <c r="H8" i="8"/>
  <c r="H7" i="8"/>
  <c r="H6" i="8"/>
  <c r="H4" i="8"/>
  <c r="H3" i="8"/>
  <c r="H2" i="8"/>
  <c r="H16" i="7"/>
  <c r="H14" i="7"/>
  <c r="H13" i="7"/>
  <c r="H10" i="7"/>
  <c r="H9" i="7"/>
  <c r="H8" i="7"/>
  <c r="H6" i="7"/>
  <c r="H5" i="7"/>
  <c r="H4" i="7"/>
  <c r="H2" i="7"/>
  <c r="H16" i="5"/>
  <c r="H15" i="5"/>
  <c r="H14" i="5"/>
  <c r="H11" i="5"/>
  <c r="H10" i="5"/>
  <c r="H9" i="5"/>
  <c r="H6" i="5"/>
  <c r="H5" i="5"/>
  <c r="H4" i="5"/>
  <c r="H3" i="5"/>
  <c r="H2" i="5"/>
  <c r="H16" i="3"/>
  <c r="H14" i="3"/>
  <c r="H12" i="3"/>
  <c r="H10" i="3"/>
  <c r="H9" i="3"/>
  <c r="H7" i="3"/>
  <c r="H6" i="3"/>
  <c r="H5" i="3"/>
  <c r="H4" i="3"/>
  <c r="H3" i="3"/>
  <c r="H2" i="3"/>
  <c r="D2" i="2"/>
  <c r="H2" i="2" s="1"/>
  <c r="D3" i="2"/>
  <c r="H3" i="2" s="1"/>
  <c r="D4" i="2"/>
  <c r="H4" i="2" s="1"/>
  <c r="D5" i="2"/>
  <c r="H5" i="2" s="1"/>
  <c r="D6" i="2"/>
  <c r="H6" i="2" s="1"/>
  <c r="D7" i="2"/>
  <c r="H7" i="2" s="1"/>
  <c r="D8" i="2"/>
  <c r="H8" i="2" s="1"/>
  <c r="D9" i="2"/>
  <c r="H9" i="2" s="1"/>
  <c r="D10" i="2"/>
  <c r="H10" i="2" s="1"/>
  <c r="D11" i="2"/>
  <c r="H11" i="2" s="1"/>
  <c r="D12" i="2"/>
  <c r="H12" i="2" s="1"/>
  <c r="D13" i="2"/>
  <c r="H13" i="2" s="1"/>
  <c r="D14" i="2"/>
  <c r="H14" i="2" s="1"/>
  <c r="D15" i="2"/>
  <c r="H15" i="2" s="1"/>
  <c r="D16" i="2"/>
  <c r="H16" i="2" s="1"/>
  <c r="K11" i="9" l="1"/>
  <c r="K10" i="9"/>
  <c r="K9" i="9"/>
  <c r="K8" i="9"/>
  <c r="K7" i="9"/>
  <c r="K6" i="9"/>
  <c r="K5" i="9"/>
  <c r="K4" i="9"/>
  <c r="K3" i="9"/>
  <c r="I2" i="7"/>
  <c r="I2" i="8"/>
  <c r="I2" i="10"/>
  <c r="I2" i="11"/>
  <c r="I2" i="5"/>
  <c r="I2" i="3"/>
  <c r="I2" i="2"/>
</calcChain>
</file>

<file path=xl/sharedStrings.xml><?xml version="1.0" encoding="utf-8"?>
<sst xmlns="http://schemas.openxmlformats.org/spreadsheetml/2006/main" count="182" uniqueCount="106">
  <si>
    <t>Product Name</t>
  </si>
  <si>
    <t>Supplier Price</t>
  </si>
  <si>
    <t>Retail Price</t>
  </si>
  <si>
    <t>Profit Margin</t>
  </si>
  <si>
    <t>Designed</t>
  </si>
  <si>
    <t>Finalized</t>
  </si>
  <si>
    <t>Quantity Sold</t>
  </si>
  <si>
    <t>Profit Made</t>
  </si>
  <si>
    <t>Profit Total</t>
  </si>
  <si>
    <t>Adobe</t>
  </si>
  <si>
    <t>Small</t>
  </si>
  <si>
    <t>Medium (Large)</t>
  </si>
  <si>
    <t>Small (Square)</t>
  </si>
  <si>
    <t>Large (XL)</t>
  </si>
  <si>
    <t>Sizing Guide</t>
  </si>
  <si>
    <t>Super (Ultimate)</t>
  </si>
  <si>
    <t>Desk Pad (Supreme)</t>
  </si>
  <si>
    <t>XL (Mega)</t>
  </si>
  <si>
    <t>Medium</t>
  </si>
  <si>
    <t>Large</t>
  </si>
  <si>
    <t>XL</t>
  </si>
  <si>
    <t>Super</t>
  </si>
  <si>
    <t>Desk Pad</t>
  </si>
  <si>
    <t>Super Pad</t>
  </si>
  <si>
    <t>Photoshop (Small)</t>
  </si>
  <si>
    <t>Photoshop (Medium)</t>
  </si>
  <si>
    <t>Photoshop (Large)</t>
  </si>
  <si>
    <t>Photoshop  (XL)</t>
  </si>
  <si>
    <t>Photoshop (Super Pad)</t>
  </si>
  <si>
    <t>Photoshop (Desk Pad)</t>
  </si>
  <si>
    <t>Creative Cloud (Small)</t>
  </si>
  <si>
    <t>Creative Cloud (Medium)</t>
  </si>
  <si>
    <t>Creative Cloud (Large)</t>
  </si>
  <si>
    <t>Creative Cloud  (XL)</t>
  </si>
  <si>
    <t>Creative Cloud (Super Pad)</t>
  </si>
  <si>
    <t>Creative Cloud (Desk Pad)</t>
  </si>
  <si>
    <t>Evan's Name</t>
  </si>
  <si>
    <t>Supplier 2mm</t>
  </si>
  <si>
    <t>Supplier 3mm</t>
  </si>
  <si>
    <t>Supplier 4mm</t>
  </si>
  <si>
    <t>Evan's 2mm</t>
  </si>
  <si>
    <t>Evan's 3mm</t>
  </si>
  <si>
    <t>Evan's 4mm</t>
  </si>
  <si>
    <t>Flat Rate 2mm</t>
  </si>
  <si>
    <t>Flat Rate 3mm</t>
  </si>
  <si>
    <t>Flat Rate 4mm</t>
  </si>
  <si>
    <t>Rate Multiplex</t>
  </si>
  <si>
    <t>Adjust</t>
  </si>
  <si>
    <t>Profit</t>
  </si>
  <si>
    <t>Devon</t>
  </si>
  <si>
    <t>Size</t>
  </si>
  <si>
    <t>Royalties</t>
  </si>
  <si>
    <t>Premier Pro (Small)</t>
  </si>
  <si>
    <t>Premier Pro (Medium)</t>
  </si>
  <si>
    <t>Premier Pro (Large)</t>
  </si>
  <si>
    <t>Premier Pro  (XL)</t>
  </si>
  <si>
    <t>Premier Pro (Super Pad)</t>
  </si>
  <si>
    <t>Premier Pro (Desk Pad)</t>
  </si>
  <si>
    <t>Microsoft</t>
  </si>
  <si>
    <t>(Small)</t>
  </si>
  <si>
    <t>(Medium)</t>
  </si>
  <si>
    <t>(Large)</t>
  </si>
  <si>
    <t>(XL)</t>
  </si>
  <si>
    <t>(Super Pad)</t>
  </si>
  <si>
    <t>(Desk Pad)</t>
  </si>
  <si>
    <t>Sublime Text (Small)</t>
  </si>
  <si>
    <t>Sublime Text (Medium)</t>
  </si>
  <si>
    <t>Sublime Text (Large)</t>
  </si>
  <si>
    <t>Sublime Text (XL)</t>
  </si>
  <si>
    <t>Sublime Text (Super Pad)</t>
  </si>
  <si>
    <t>Sublime Text (Desk Pad)</t>
  </si>
  <si>
    <t>VS Code (Small)</t>
  </si>
  <si>
    <t>VS Code (Medium)</t>
  </si>
  <si>
    <t>VS Code(Large)</t>
  </si>
  <si>
    <t>VS Code(XL)</t>
  </si>
  <si>
    <t>VS Code (Super Pad)</t>
  </si>
  <si>
    <t>VS Code (Desk Pad)</t>
  </si>
  <si>
    <t>Unity (Small)</t>
  </si>
  <si>
    <t>Unity (Medium)</t>
  </si>
  <si>
    <t>Unity (Large)</t>
  </si>
  <si>
    <t>Unity (XL)</t>
  </si>
  <si>
    <t>Unity (Super Pad)</t>
  </si>
  <si>
    <t>Unity (Desk Pad)</t>
  </si>
  <si>
    <t>Unreal (Small)</t>
  </si>
  <si>
    <t>Unreal (Medium)</t>
  </si>
  <si>
    <t>Unreal (Large)</t>
  </si>
  <si>
    <t>Unreal (XL)</t>
  </si>
  <si>
    <t>Unreal (Super Pad)</t>
  </si>
  <si>
    <t>Unreal (Desk Pad)</t>
  </si>
  <si>
    <t>Stencyl (Small)</t>
  </si>
  <si>
    <t>Stencyl (Medium)</t>
  </si>
  <si>
    <t>Stencyl (Large)</t>
  </si>
  <si>
    <t>Stencyl (XL)</t>
  </si>
  <si>
    <t>Stencyl (Super Pad)</t>
  </si>
  <si>
    <t>Stencyl (Desk Pad)</t>
  </si>
  <si>
    <t>Emoji Reference Tables</t>
  </si>
  <si>
    <t>Animals</t>
  </si>
  <si>
    <t>Countries</t>
  </si>
  <si>
    <t>Faces</t>
  </si>
  <si>
    <t>Food</t>
  </si>
  <si>
    <t>Humans</t>
  </si>
  <si>
    <t>Icons</t>
  </si>
  <si>
    <t>Sports</t>
  </si>
  <si>
    <t>Symbols</t>
  </si>
  <si>
    <t>8 Pack Deal</t>
  </si>
  <si>
    <t>Font Awesome Icons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</si>
</sst>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11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/>
      <bottom style="medium">
        <color theme="6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theme="6"/>
      </left>
      <right/>
      <top/>
      <bottom style="medium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196B24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4" fontId="0" fillId="2" borderId="1" xfId="0" applyNumberFormat="1" applyFont="1" applyFill="1" applyBorder="1"/>
    <xf numFmtId="164" fontId="0" fillId="0" borderId="1" xfId="0" applyNumberFormat="1" applyFont="1" applyBorder="1"/>
    <xf numFmtId="0" fontId="0" fillId="2" borderId="2" xfId="0" applyFont="1" applyFill="1" applyBorder="1"/>
    <xf numFmtId="0" fontId="0" fillId="0" borderId="2" xfId="0" applyFont="1" applyBorder="1"/>
    <xf numFmtId="164" fontId="0" fillId="2" borderId="3" xfId="0" applyNumberFormat="1" applyFont="1" applyFill="1" applyBorder="1"/>
    <xf numFmtId="164" fontId="0" fillId="0" borderId="3" xfId="0" applyNumberFormat="1" applyFont="1" applyBorder="1"/>
    <xf numFmtId="0" fontId="1" fillId="0" borderId="4" xfId="0" applyFont="1" applyBorder="1"/>
    <xf numFmtId="164" fontId="1" fillId="0" borderId="5" xfId="0" applyNumberFormat="1" applyFont="1" applyBorder="1"/>
    <xf numFmtId="0" fontId="1" fillId="0" borderId="5" xfId="0" applyFont="1" applyBorder="1"/>
    <xf numFmtId="164" fontId="1" fillId="0" borderId="6" xfId="0" applyNumberFormat="1" applyFont="1" applyBorder="1"/>
    <xf numFmtId="0" fontId="0" fillId="2" borderId="7" xfId="0" applyFont="1" applyFill="1" applyBorder="1"/>
    <xf numFmtId="164" fontId="0" fillId="2" borderId="8" xfId="0" applyNumberFormat="1" applyFont="1" applyFill="1" applyBorder="1"/>
    <xf numFmtId="164" fontId="0" fillId="2" borderId="9" xfId="0" applyNumberFormat="1" applyFont="1" applyFill="1" applyBorder="1"/>
    <xf numFmtId="1" fontId="0" fillId="2" borderId="1" xfId="0" applyNumberFormat="1" applyFont="1" applyFill="1" applyBorder="1" applyAlignment="1">
      <alignment horizontal="center"/>
    </xf>
    <xf numFmtId="1" fontId="0" fillId="2" borderId="8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5" xfId="0" applyNumberFormat="1" applyFont="1" applyBorder="1" applyAlignment="1">
      <alignment horizontal="left"/>
    </xf>
    <xf numFmtId="164" fontId="0" fillId="2" borderId="0" xfId="0" applyNumberFormat="1" applyFont="1" applyFill="1"/>
    <xf numFmtId="0" fontId="1" fillId="0" borderId="5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1" fillId="2" borderId="2" xfId="0" applyFont="1" applyFill="1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2" borderId="10" xfId="0" applyFont="1" applyFill="1" applyBorder="1"/>
    <xf numFmtId="0" fontId="1" fillId="2" borderId="1" xfId="0" applyFont="1" applyFill="1" applyBorder="1"/>
    <xf numFmtId="164" fontId="0" fillId="2" borderId="1" xfId="0" applyNumberFormat="1" applyFont="1" applyFill="1" applyBorder="1" applyAlignment="1">
      <alignment horizontal="right"/>
    </xf>
    <xf numFmtId="164" fontId="0" fillId="2" borderId="8" xfId="0" applyNumberFormat="1" applyFont="1" applyFill="1" applyBorder="1" applyAlignment="1">
      <alignment horizontal="right"/>
    </xf>
    <xf numFmtId="164" fontId="1" fillId="2" borderId="1" xfId="0" applyNumberFormat="1" applyFont="1" applyFill="1" applyBorder="1"/>
  </cellXfs>
  <cellStyles count="1">
    <cellStyle name="Normal" xfId="0" builtinId="0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theme="6"/>
        </top>
      </border>
    </dxf>
    <dxf>
      <border outline="0">
        <bottom style="medium">
          <color theme="6"/>
        </bottom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rgb="FF196B24"/>
        </top>
      </border>
    </dxf>
    <dxf>
      <border outline="0">
        <bottom style="medium">
          <color rgb="FF196B24"/>
        </bottom>
      </border>
    </dxf>
    <dxf>
      <border outline="0">
        <left style="thin">
          <color rgb="FF196B24"/>
        </left>
        <right style="thin">
          <color rgb="FF196B24"/>
        </right>
        <top style="thin">
          <color rgb="FF196B24"/>
        </top>
        <bottom style="thin">
          <color rgb="FF196B2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1F0C8"/>
          <bgColor rgb="FFC1F0C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887B1D-242B-4DA3-A74E-E062D534BE55}" name="Table2" displayName="Table2" ref="A1:I16" totalsRowShown="0" headerRowDxfId="32" dataDxfId="31" headerRowBorderDxfId="29" tableBorderDxfId="30" totalsRowBorderDxfId="28">
  <autoFilter ref="A1:I16" xr:uid="{DC887B1D-242B-4DA3-A74E-E062D534BE55}"/>
  <tableColumns count="9">
    <tableColumn id="1" xr3:uid="{B605431E-4E0B-4C36-AF3C-EE906DF1CC79}" name="Product Name" dataDxfId="27"/>
    <tableColumn id="2" xr3:uid="{FE1A12BC-6E0B-46F9-AF5C-607DD8F64F9F}" name="Supplier Price" dataDxfId="26"/>
    <tableColumn id="3" xr3:uid="{B48E0501-7C2F-4351-9F73-6494C10D4156}" name="Retail Price" dataDxfId="25"/>
    <tableColumn id="4" xr3:uid="{3BD9D1AD-47E6-4F8A-8752-7D43D039BE35}" name="Profit Margin" dataDxfId="24">
      <calculatedColumnFormula>Table2[[#This Row],[Supplier Price]]-Table2[[#This Row],[Retail Price]]</calculatedColumnFormula>
    </tableColumn>
    <tableColumn id="5" xr3:uid="{740F1EC8-9D24-43F3-938B-BDD6EF9D57F9}" name="Designed" dataDxfId="23"/>
    <tableColumn id="6" xr3:uid="{D3F61501-708C-4E00-9414-FFFDB43C5A41}" name="Finalized" dataDxfId="22"/>
    <tableColumn id="7" xr3:uid="{E28E7388-5DA6-4B2C-A13C-756D2987768D}" name="Quantity Sold" dataDxfId="21"/>
    <tableColumn id="8" xr3:uid="{7B721336-48A7-48CA-BB4C-05ECC919A46A}" name="Profit Made" dataDxfId="20">
      <calculatedColumnFormula>Table2[[#This Row],[Quantity Sold]]*Table2[[#This Row],[Profit Margin]]</calculatedColumnFormula>
    </tableColumn>
    <tableColumn id="9" xr3:uid="{CD4E58DC-5394-4545-B01B-257499AC5A70}" name="Profit Total" dataDxfId="19">
      <calculatedColumnFormula>SUM(H:H)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EFC6C4-9A64-4EE3-8F24-9FEB50ACE254}" name="Table24" displayName="Table24" ref="A1:I35" totalsRowShown="0" headerRowDxfId="111" dataDxfId="110" headerRowBorderDxfId="108" tableBorderDxfId="109" totalsRowBorderDxfId="107">
  <autoFilter ref="A1:I35" xr:uid="{DC887B1D-242B-4DA3-A74E-E062D534BE55}"/>
  <tableColumns count="9">
    <tableColumn id="1" xr3:uid="{4C8BABD0-4284-4F33-BCEB-E9EA25C938EA}" name="Product Name" dataDxfId="106"/>
    <tableColumn id="2" xr3:uid="{CCA39FDF-7DD1-4033-AA8E-434E06463F64}" name="Supplier Price" dataDxfId="105"/>
    <tableColumn id="3" xr3:uid="{639AA085-E0E2-40AC-BB6B-E973CC81521A}" name="Retail Price" dataDxfId="104"/>
    <tableColumn id="4" xr3:uid="{61F5B380-4334-4C91-B836-1B62AC071CBA}" name="Profit Margin" dataDxfId="103">
      <calculatedColumnFormula>Table24[[#This Row],[Retail Price]]-Table24[[#This Row],[Supplier Price]]</calculatedColumnFormula>
    </tableColumn>
    <tableColumn id="5" xr3:uid="{257AF62B-CCAF-4B29-91B3-0BE2326409DF}" name="Designed" dataDxfId="102"/>
    <tableColumn id="6" xr3:uid="{2F6B9167-72BF-434E-B694-77F5B5D9F046}" name="Finalized" dataDxfId="101"/>
    <tableColumn id="7" xr3:uid="{423A3631-10F0-4FDE-984E-0DD72F516D32}" name="Quantity Sold" dataDxfId="100"/>
    <tableColumn id="8" xr3:uid="{EF0B5F18-AE5B-49F3-8416-1FFDC9CC0BF3}" name="Profit Made" dataDxfId="99">
      <calculatedColumnFormula>Table24[[#This Row],[Quantity Sold]]*Table24[[#This Row],[Profit Margin]]</calculatedColumnFormula>
    </tableColumn>
    <tableColumn id="9" xr3:uid="{2808DA76-52FE-4F10-A214-D00A6D6D1959}" name="Profit Total" dataDxfId="98">
      <calculatedColumnFormula>SUM(H:H)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743B1C-4027-4DD2-AC71-2207D5C5261F}" name="Table249" displayName="Table249" ref="A1:I35" totalsRowShown="0" headerRowDxfId="58" dataDxfId="57" headerRowBorderDxfId="55" tableBorderDxfId="56" totalsRowBorderDxfId="54">
  <autoFilter ref="A1:I35" xr:uid="{DC887B1D-242B-4DA3-A74E-E062D534BE55}"/>
  <tableColumns count="9">
    <tableColumn id="1" xr3:uid="{A7A08DA4-272D-4FB3-B0BE-F36A7AAFE9CC}" name="Product Name" dataDxfId="53"/>
    <tableColumn id="2" xr3:uid="{0510F5F3-4B0C-4714-BBA2-910621D54A9B}" name="Supplier Price" dataDxfId="52"/>
    <tableColumn id="3" xr3:uid="{0FE1C245-A77B-4B0E-BC9E-DD5DDB34FD65}" name="Retail Price" dataDxfId="51"/>
    <tableColumn id="4" xr3:uid="{3F1C6643-C5C9-4232-B831-CA7536E10B0B}" name="Profit Margin" dataDxfId="17">
      <calculatedColumnFormula>Table249[[#This Row],[Retail Price]]-Table249[[#This Row],[Supplier Price]]</calculatedColumnFormula>
    </tableColumn>
    <tableColumn id="5" xr3:uid="{729D327C-3B43-4919-8588-2AAF37CA102C}" name="Designed" dataDxfId="50"/>
    <tableColumn id="6" xr3:uid="{792B82F8-96DB-4B65-B9C7-CA177935C816}" name="Finalized" dataDxfId="49"/>
    <tableColumn id="7" xr3:uid="{16562F83-4BD9-4114-8BB3-968D706A6C64}" name="Quantity Sold" dataDxfId="48"/>
    <tableColumn id="8" xr3:uid="{687D664C-DF1C-4B2D-B6BE-C44F2BACC195}" name="Profit Made" dataDxfId="47">
      <calculatedColumnFormula>Table249[[#This Row],[Quantity Sold]]*Table249[[#This Row],[Profit Margin]]</calculatedColumnFormula>
    </tableColumn>
    <tableColumn id="9" xr3:uid="{575E07BF-BD4C-41E1-850C-5D0F6A50EBF1}" name="Profit Total" dataDxfId="46">
      <calculatedColumnFormula>SUM(H:H)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E37000-968D-48A4-A44F-AB5ECB9EC7CD}" name="Table245" displayName="Table245" ref="A1:I16" totalsRowShown="0" headerRowDxfId="97" dataDxfId="96" headerRowBorderDxfId="94" tableBorderDxfId="95" totalsRowBorderDxfId="93">
  <autoFilter ref="A1:I16" xr:uid="{DC887B1D-242B-4DA3-A74E-E062D534BE55}"/>
  <tableColumns count="9">
    <tableColumn id="1" xr3:uid="{01E70EE9-3167-411E-8D2A-079EB917152E}" name="Product Name" dataDxfId="92"/>
    <tableColumn id="2" xr3:uid="{3E817862-C113-4FC0-89FD-D99FB0A55AFB}" name="Supplier Price" dataDxfId="91"/>
    <tableColumn id="3" xr3:uid="{7E028282-765F-4A0F-8EE5-6E6D78C6EC38}" name="Retail Price" dataDxfId="90"/>
    <tableColumn id="4" xr3:uid="{60CC6048-385E-4494-87F5-446ADEFD661C}" name="Profit Margin" dataDxfId="16">
      <calculatedColumnFormula>Table245[[#This Row],[Retail Price]]-Table245[[#This Row],[Supplier Price]]</calculatedColumnFormula>
    </tableColumn>
    <tableColumn id="5" xr3:uid="{056E7607-34CD-4E68-B9F0-3B042238BDB1}" name="Designed" dataDxfId="89"/>
    <tableColumn id="6" xr3:uid="{26D8093F-CB5A-4552-A72D-0C8234525948}" name="Finalized" dataDxfId="88"/>
    <tableColumn id="7" xr3:uid="{65F25982-A5F6-4D5A-A38D-4A428B7305CC}" name="Quantity Sold" dataDxfId="87"/>
    <tableColumn id="8" xr3:uid="{6B5B9C14-3500-49C0-BC2D-1CA60FBAD802}" name="Profit Made" dataDxfId="86">
      <calculatedColumnFormula>Table245[[#This Row],[Quantity Sold]]*Table245[[#This Row],[Profit Margin]]</calculatedColumnFormula>
    </tableColumn>
    <tableColumn id="9" xr3:uid="{0510D72C-195C-4206-926B-338537BC37F1}" name="Profit Total" dataDxfId="85">
      <calculatedColumnFormula>SUM(H:H)</calculatedColumn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B2A7B7-987B-4A00-9B22-FAC47BBC0AB7}" name="Table245678" displayName="Table245678" ref="A1:I16" totalsRowShown="0" headerRowDxfId="13" dataDxfId="12" headerRowBorderDxfId="10" tableBorderDxfId="11" totalsRowBorderDxfId="9">
  <autoFilter ref="A1:I16" xr:uid="{DC887B1D-242B-4DA3-A74E-E062D534BE55}"/>
  <tableColumns count="9">
    <tableColumn id="1" xr3:uid="{ACD129FB-570E-45A9-AD22-8D94A8B1406C}" name="Product Name" dataDxfId="8"/>
    <tableColumn id="2" xr3:uid="{0B823DF2-7F27-4C82-99F1-856B33F26AE4}" name="Supplier Price" dataDxfId="7"/>
    <tableColumn id="3" xr3:uid="{454F5BCA-79E0-44ED-AC35-423907D8AB9D}" name="Retail Price" dataDxfId="6"/>
    <tableColumn id="4" xr3:uid="{F6015923-18A3-4373-B2DC-EBACC448E6E6}" name="Profit Margin" dataDxfId="5">
      <calculatedColumnFormula>Table245678[[#This Row],[Retail Price]]-Table245678[[#This Row],[Supplier Price]]</calculatedColumnFormula>
    </tableColumn>
    <tableColumn id="5" xr3:uid="{14A3AD5D-1237-4398-AF21-7237ABC81927}" name="Designed" dataDxfId="4"/>
    <tableColumn id="6" xr3:uid="{6404F429-EDEC-446D-9656-117BEC430F60}" name="Finalized" dataDxfId="3"/>
    <tableColumn id="7" xr3:uid="{5DE2EB75-4052-485E-BD3B-70D82DD0D84D}" name="Quantity Sold" dataDxfId="2"/>
    <tableColumn id="8" xr3:uid="{3F8F5855-D5FE-407A-A26C-4D020F40EA2B}" name="Profit Made" dataDxfId="1">
      <calculatedColumnFormula>Table245678[[#This Row],[Quantity Sold]]*Table245678[[#This Row],[Profit Margin]]</calculatedColumnFormula>
    </tableColumn>
    <tableColumn id="9" xr3:uid="{CFB51ECE-219F-46E0-B8DC-1288766D0E49}" name="Profit Total" dataDxfId="0">
      <calculatedColumnFormula>SUM(H:H)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40876-DA07-4E39-9678-B2BBE3696095}" name="Table2410" displayName="Table2410" ref="A1:I34" totalsRowShown="0" headerRowDxfId="45" dataDxfId="44" headerRowBorderDxfId="42" tableBorderDxfId="43" totalsRowBorderDxfId="41">
  <autoFilter ref="A1:I34" xr:uid="{DC887B1D-242B-4DA3-A74E-E062D534BE55}"/>
  <tableColumns count="9">
    <tableColumn id="1" xr3:uid="{B2316C10-234D-4773-967A-E7A836B2EE7A}" name="Product Name" dataDxfId="40"/>
    <tableColumn id="2" xr3:uid="{7B0A416F-D453-4AED-91EB-D8B65F38CA2B}" name="Supplier Price" dataDxfId="39"/>
    <tableColumn id="3" xr3:uid="{15E67C9B-1A93-4ACB-AE35-48EF134F691E}" name="Retail Price" dataDxfId="38"/>
    <tableColumn id="4" xr3:uid="{4899313F-F290-4862-9921-9EC504E7CD04}" name="Profit Margin" dataDxfId="18">
      <calculatedColumnFormula>Table2410[[#This Row],[Retail Price]]-Table2410[[#This Row],[Supplier Price]]</calculatedColumnFormula>
    </tableColumn>
    <tableColumn id="5" xr3:uid="{2B3E0309-4654-4122-A42E-B3E08A08E1C3}" name="Designed" dataDxfId="37"/>
    <tableColumn id="6" xr3:uid="{4793C5C4-FC0C-4984-89C6-DE4EAC723713}" name="Finalized" dataDxfId="36"/>
    <tableColumn id="7" xr3:uid="{539F8DF7-A037-488B-8934-43CDD8230928}" name="Quantity Sold" dataDxfId="35"/>
    <tableColumn id="8" xr3:uid="{407C5599-6E47-4888-845E-28373B5E1CB7}" name="Profit Made" dataDxfId="34">
      <calculatedColumnFormula>Table2410[[#This Row],[Quantity Sold]]*Table2410[[#This Row],[Profit Margin]]</calculatedColumnFormula>
    </tableColumn>
    <tableColumn id="9" xr3:uid="{3A93297D-140F-4381-8356-F8C6D4CE49C0}" name="Profit Total" dataDxfId="33">
      <calculatedColumnFormula>SUM(H:H)</calculatedColumn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94396A-7360-411D-8EB5-520476DFEB76}" name="Table24567" displayName="Table24567" ref="A1:I16" totalsRowShown="0" headerRowDxfId="71" dataDxfId="70" headerRowBorderDxfId="68" tableBorderDxfId="69" totalsRowBorderDxfId="67">
  <autoFilter ref="A1:I16" xr:uid="{DC887B1D-242B-4DA3-A74E-E062D534BE55}"/>
  <tableColumns count="9">
    <tableColumn id="1" xr3:uid="{1B244EC2-8EBE-4A91-899F-3F3BF7809D6D}" name="Product Name" dataDxfId="66"/>
    <tableColumn id="2" xr3:uid="{B3FB7CD9-CD2B-46F0-948E-F2E3221208F4}" name="Supplier Price" dataDxfId="65"/>
    <tableColumn id="3" xr3:uid="{9AC5AF26-7951-4C8C-9C76-CD10C11AC3CD}" name="Retail Price" dataDxfId="64"/>
    <tableColumn id="4" xr3:uid="{5D3EB55B-F565-439A-9A16-A45F88585FF4}" name="Profit Margin" dataDxfId="15">
      <calculatedColumnFormula>Table24567[[#This Row],[Retail Price]]-Table24567[[#This Row],[Supplier Price]]</calculatedColumnFormula>
    </tableColumn>
    <tableColumn id="5" xr3:uid="{419B7769-0CC8-45B7-9625-9BC31FE8F333}" name="Designed" dataDxfId="63"/>
    <tableColumn id="6" xr3:uid="{9514058C-0E92-44BB-87A2-9AFC32015685}" name="Finalized" dataDxfId="62"/>
    <tableColumn id="7" xr3:uid="{9D09E520-C2A1-48F1-82FF-F7AA75F961FC}" name="Quantity Sold" dataDxfId="61"/>
    <tableColumn id="8" xr3:uid="{D8428C3E-B782-43A6-97A8-DB8446D48A43}" name="Profit Made" dataDxfId="60">
      <calculatedColumnFormula>Table24567[[#This Row],[Quantity Sold]]*Table24567[[#This Row],[Profit Margin]]</calculatedColumnFormula>
    </tableColumn>
    <tableColumn id="9" xr3:uid="{300C1F76-D5C8-487A-9E42-AC98909EB540}" name="Profit Total" dataDxfId="59">
      <calculatedColumnFormula>SUM(H:H)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63DED7-015F-408B-9F6C-F9623991E7D2}" name="Table2456" displayName="Table2456" ref="A1:I16" totalsRowShown="0" headerRowDxfId="84" dataDxfId="83" headerRowBorderDxfId="81" tableBorderDxfId="82" totalsRowBorderDxfId="80">
  <autoFilter ref="A1:I16" xr:uid="{DC887B1D-242B-4DA3-A74E-E062D534BE55}"/>
  <tableColumns count="9">
    <tableColumn id="1" xr3:uid="{0F0B0F6C-FF61-4216-95D8-0CB560ACE727}" name="Product Name" dataDxfId="79"/>
    <tableColumn id="2" xr3:uid="{461BFFA9-9181-4051-B565-8034FE9A8421}" name="Supplier Price" dataDxfId="78"/>
    <tableColumn id="3" xr3:uid="{B9D3D072-2F9E-4408-AD94-A2D0CBDD96E3}" name="Retail Price" dataDxfId="77"/>
    <tableColumn id="4" xr3:uid="{DF5FA5F8-028B-44E4-A4B1-67854E569D4C}" name="Profit Margin" dataDxfId="14">
      <calculatedColumnFormula>Table2456[[#This Row],[Retail Price]]-Table2456[[#This Row],[Supplier Price]]</calculatedColumnFormula>
    </tableColumn>
    <tableColumn id="5" xr3:uid="{BE068F6D-A725-412A-8B8F-02B68CB5BC98}" name="Designed" dataDxfId="76"/>
    <tableColumn id="6" xr3:uid="{0FB60606-0B59-4E87-8A2D-3CA213767249}" name="Finalized" dataDxfId="75"/>
    <tableColumn id="7" xr3:uid="{7F0AECF6-CD7C-4F09-AE4E-CB17F308D646}" name="Quantity Sold" dataDxfId="74"/>
    <tableColumn id="8" xr3:uid="{CBC253F7-9BD9-4766-B48D-F5F9E799C930}" name="Profit Made" dataDxfId="73">
      <calculatedColumnFormula>Table2456[[#This Row],[Quantity Sold]]*Table2456[[#This Row],[Profit Margin]]</calculatedColumnFormula>
    </tableColumn>
    <tableColumn id="9" xr3:uid="{6671A81F-C36F-4225-8182-B5087F8F34F5}" name="Profit Total" dataDxfId="72">
      <calculatedColumnFormula>SUM(H:H)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DB8E-9718-456F-873A-AD08F2A6E82A}">
  <dimension ref="A1:U33"/>
  <sheetViews>
    <sheetView tabSelected="1" topLeftCell="G14" zoomScaleNormal="100" workbookViewId="0">
      <selection activeCell="Q38" sqref="Q38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  <col min="10" max="10" width="8.44140625" customWidth="1"/>
    <col min="11" max="12" width="15.21875" customWidth="1"/>
    <col min="13" max="13" width="6.21875" customWidth="1"/>
    <col min="14" max="15" width="17.77734375" customWidth="1"/>
    <col min="16" max="16" width="6.33203125" customWidth="1"/>
    <col min="17" max="17" width="14" customWidth="1"/>
  </cols>
  <sheetData>
    <row r="1" spans="1:9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9" x14ac:dyDescent="0.3">
      <c r="A2" s="4"/>
      <c r="B2" s="2">
        <v>0</v>
      </c>
      <c r="C2" s="2">
        <v>0</v>
      </c>
      <c r="D2" s="2">
        <f>Table2[[#This Row],[Supplier Price]]-Table2[[#This Row],[Retail Price]]</f>
        <v>0</v>
      </c>
      <c r="E2" s="21"/>
      <c r="F2" s="26"/>
      <c r="G2" s="15">
        <v>0</v>
      </c>
      <c r="H2" s="6">
        <f>Table2[[#This Row],[Quantity Sold]]*Table2[[#This Row],[Profit Margin]]</f>
        <v>0</v>
      </c>
      <c r="I2" s="19">
        <f t="shared" ref="I2:I16" si="0">SUM(H:H)</f>
        <v>839</v>
      </c>
    </row>
    <row r="3" spans="1:9" x14ac:dyDescent="0.3">
      <c r="A3" s="5"/>
      <c r="B3" s="2">
        <v>0</v>
      </c>
      <c r="C3" s="2">
        <v>0</v>
      </c>
      <c r="D3" s="3">
        <f>Table2[[#This Row],[Supplier Price]]-Table2[[#This Row],[Retail Price]]</f>
        <v>0</v>
      </c>
      <c r="E3" s="22"/>
      <c r="F3" s="27"/>
      <c r="G3" s="15">
        <v>0</v>
      </c>
      <c r="H3" s="7">
        <f>Table2[[#This Row],[Quantity Sold]]*Table2[[#This Row],[Profit Margin]]</f>
        <v>0</v>
      </c>
      <c r="I3" s="19"/>
    </row>
    <row r="4" spans="1:9" x14ac:dyDescent="0.3">
      <c r="A4" s="4"/>
      <c r="B4" s="2">
        <v>0</v>
      </c>
      <c r="C4" s="2">
        <v>0</v>
      </c>
      <c r="D4" s="2">
        <f>Table2[[#This Row],[Supplier Price]]-Table2[[#This Row],[Retail Price]]</f>
        <v>0</v>
      </c>
      <c r="E4" s="21"/>
      <c r="F4" s="26"/>
      <c r="G4" s="15">
        <v>0</v>
      </c>
      <c r="H4" s="6">
        <f>Table2[[#This Row],[Quantity Sold]]*Table2[[#This Row],[Profit Margin]]</f>
        <v>0</v>
      </c>
      <c r="I4" s="19"/>
    </row>
    <row r="5" spans="1:9" x14ac:dyDescent="0.3">
      <c r="A5" s="5"/>
      <c r="B5" s="2">
        <v>0</v>
      </c>
      <c r="C5" s="2">
        <v>0</v>
      </c>
      <c r="D5" s="3">
        <f>Table2[[#This Row],[Supplier Price]]-Table2[[#This Row],[Retail Price]]</f>
        <v>0</v>
      </c>
      <c r="E5" s="22"/>
      <c r="F5" s="27"/>
      <c r="G5" s="15">
        <v>0</v>
      </c>
      <c r="H5" s="7">
        <f>Table2[[#This Row],[Quantity Sold]]*Table2[[#This Row],[Profit Margin]]</f>
        <v>0</v>
      </c>
      <c r="I5" s="19"/>
    </row>
    <row r="6" spans="1:9" x14ac:dyDescent="0.3">
      <c r="A6" s="4"/>
      <c r="B6" s="2">
        <v>0</v>
      </c>
      <c r="C6" s="2">
        <v>0</v>
      </c>
      <c r="D6" s="2">
        <f>Table2[[#This Row],[Supplier Price]]-Table2[[#This Row],[Retail Price]]</f>
        <v>0</v>
      </c>
      <c r="E6" s="21"/>
      <c r="F6" s="26"/>
      <c r="G6" s="15">
        <v>0</v>
      </c>
      <c r="H6" s="6">
        <f>Table2[[#This Row],[Quantity Sold]]*Table2[[#This Row],[Profit Margin]]</f>
        <v>0</v>
      </c>
      <c r="I6" s="19"/>
    </row>
    <row r="7" spans="1:9" x14ac:dyDescent="0.3">
      <c r="A7" s="5"/>
      <c r="B7" s="2">
        <v>0</v>
      </c>
      <c r="C7" s="2">
        <v>0</v>
      </c>
      <c r="D7" s="3">
        <f>Table2[[#This Row],[Supplier Price]]-Table2[[#This Row],[Retail Price]]</f>
        <v>0</v>
      </c>
      <c r="E7" s="22"/>
      <c r="F7" s="27"/>
      <c r="G7" s="15">
        <v>0</v>
      </c>
      <c r="H7" s="7">
        <f>Table2[[#This Row],[Quantity Sold]]*Table2[[#This Row],[Profit Margin]]</f>
        <v>0</v>
      </c>
      <c r="I7" s="19"/>
    </row>
    <row r="8" spans="1:9" x14ac:dyDescent="0.3">
      <c r="A8" s="4"/>
      <c r="B8" s="2">
        <v>0</v>
      </c>
      <c r="C8" s="2">
        <v>0</v>
      </c>
      <c r="D8" s="2">
        <f>Table2[[#This Row],[Supplier Price]]-Table2[[#This Row],[Retail Price]]</f>
        <v>0</v>
      </c>
      <c r="E8" s="21"/>
      <c r="F8" s="26"/>
      <c r="G8" s="15">
        <v>0</v>
      </c>
      <c r="H8" s="6">
        <f>Table2[[#This Row],[Quantity Sold]]*Table2[[#This Row],[Profit Margin]]</f>
        <v>0</v>
      </c>
      <c r="I8" s="19"/>
    </row>
    <row r="9" spans="1:9" x14ac:dyDescent="0.3">
      <c r="A9" s="5"/>
      <c r="B9" s="2">
        <v>0</v>
      </c>
      <c r="C9" s="2">
        <v>0</v>
      </c>
      <c r="D9" s="3">
        <f>Table2[[#This Row],[Supplier Price]]-Table2[[#This Row],[Retail Price]]</f>
        <v>0</v>
      </c>
      <c r="E9" s="22"/>
      <c r="F9" s="27"/>
      <c r="G9" s="15">
        <v>0</v>
      </c>
      <c r="H9" s="7">
        <f>Table2[[#This Row],[Quantity Sold]]*Table2[[#This Row],[Profit Margin]]</f>
        <v>0</v>
      </c>
      <c r="I9" s="19"/>
    </row>
    <row r="10" spans="1:9" x14ac:dyDescent="0.3">
      <c r="A10" s="4"/>
      <c r="B10" s="2">
        <v>0</v>
      </c>
      <c r="C10" s="2">
        <v>0</v>
      </c>
      <c r="D10" s="2">
        <f>Table2[[#This Row],[Supplier Price]]-Table2[[#This Row],[Retail Price]]</f>
        <v>0</v>
      </c>
      <c r="E10" s="21"/>
      <c r="F10" s="26"/>
      <c r="G10" s="15">
        <v>0</v>
      </c>
      <c r="H10" s="6">
        <f>Table2[[#This Row],[Quantity Sold]]*Table2[[#This Row],[Profit Margin]]</f>
        <v>0</v>
      </c>
      <c r="I10" s="19"/>
    </row>
    <row r="11" spans="1:9" x14ac:dyDescent="0.3">
      <c r="A11" s="5"/>
      <c r="B11" s="2">
        <v>0</v>
      </c>
      <c r="C11" s="2">
        <v>0</v>
      </c>
      <c r="D11" s="3">
        <f>Table2[[#This Row],[Supplier Price]]-Table2[[#This Row],[Retail Price]]</f>
        <v>0</v>
      </c>
      <c r="E11" s="22"/>
      <c r="F11" s="27"/>
      <c r="G11" s="15">
        <v>0</v>
      </c>
      <c r="H11" s="7">
        <f>Table2[[#This Row],[Quantity Sold]]*Table2[[#This Row],[Profit Margin]]</f>
        <v>0</v>
      </c>
      <c r="I11" s="19"/>
    </row>
    <row r="12" spans="1:9" x14ac:dyDescent="0.3">
      <c r="A12" s="4"/>
      <c r="B12" s="2">
        <v>0</v>
      </c>
      <c r="C12" s="2">
        <v>0</v>
      </c>
      <c r="D12" s="2">
        <f>Table2[[#This Row],[Supplier Price]]-Table2[[#This Row],[Retail Price]]</f>
        <v>0</v>
      </c>
      <c r="E12" s="21"/>
      <c r="F12" s="26"/>
      <c r="G12" s="15">
        <v>0</v>
      </c>
      <c r="H12" s="6">
        <f>Table2[[#This Row],[Quantity Sold]]*Table2[[#This Row],[Profit Margin]]</f>
        <v>0</v>
      </c>
      <c r="I12" s="19"/>
    </row>
    <row r="13" spans="1:9" x14ac:dyDescent="0.3">
      <c r="A13" s="5"/>
      <c r="B13" s="2">
        <v>0</v>
      </c>
      <c r="C13" s="2">
        <v>0</v>
      </c>
      <c r="D13" s="3">
        <f>Table2[[#This Row],[Supplier Price]]-Table2[[#This Row],[Retail Price]]</f>
        <v>0</v>
      </c>
      <c r="E13" s="22"/>
      <c r="F13" s="27"/>
      <c r="G13" s="15">
        <v>0</v>
      </c>
      <c r="H13" s="7">
        <f>Table2[[#This Row],[Quantity Sold]]*Table2[[#This Row],[Profit Margin]]</f>
        <v>0</v>
      </c>
      <c r="I13" s="19"/>
    </row>
    <row r="14" spans="1:9" x14ac:dyDescent="0.3">
      <c r="A14" s="4"/>
      <c r="B14" s="2">
        <v>0</v>
      </c>
      <c r="C14" s="2">
        <v>0</v>
      </c>
      <c r="D14" s="2">
        <f>Table2[[#This Row],[Supplier Price]]-Table2[[#This Row],[Retail Price]]</f>
        <v>0</v>
      </c>
      <c r="E14" s="21"/>
      <c r="F14" s="26"/>
      <c r="G14" s="15">
        <v>0</v>
      </c>
      <c r="H14" s="6">
        <f>Table2[[#This Row],[Quantity Sold]]*Table2[[#This Row],[Profit Margin]]</f>
        <v>0</v>
      </c>
      <c r="I14" s="19"/>
    </row>
    <row r="15" spans="1:9" x14ac:dyDescent="0.3">
      <c r="A15" s="5"/>
      <c r="B15" s="2">
        <v>0</v>
      </c>
      <c r="C15" s="2">
        <v>0</v>
      </c>
      <c r="D15" s="3">
        <f>Table2[[#This Row],[Supplier Price]]-Table2[[#This Row],[Retail Price]]</f>
        <v>0</v>
      </c>
      <c r="E15" s="22"/>
      <c r="F15" s="27"/>
      <c r="G15" s="15">
        <v>0</v>
      </c>
      <c r="H15" s="7">
        <f>Table2[[#This Row],[Quantity Sold]]*Table2[[#This Row],[Profit Margin]]</f>
        <v>0</v>
      </c>
      <c r="I15" s="19"/>
    </row>
    <row r="16" spans="1:9" x14ac:dyDescent="0.3">
      <c r="A16" s="12"/>
      <c r="B16" s="2">
        <v>0</v>
      </c>
      <c r="C16" s="2">
        <v>0</v>
      </c>
      <c r="D16" s="13">
        <f>Table2[[#This Row],[Supplier Price]]-Table2[[#This Row],[Retail Price]]</f>
        <v>0</v>
      </c>
      <c r="E16" s="23"/>
      <c r="F16" s="28"/>
      <c r="G16" s="15">
        <v>0</v>
      </c>
      <c r="H16" s="14">
        <f>Table2[[#This Row],[Quantity Sold]]*Table2[[#This Row],[Profit Margin]]</f>
        <v>0</v>
      </c>
      <c r="I16" s="19"/>
    </row>
    <row r="18" spans="1:21" x14ac:dyDescent="0.3">
      <c r="I18" s="31" t="s">
        <v>46</v>
      </c>
      <c r="J18" s="31" t="s">
        <v>47</v>
      </c>
      <c r="M18" s="33" t="s">
        <v>47</v>
      </c>
      <c r="P18" s="31" t="s">
        <v>47</v>
      </c>
    </row>
    <row r="19" spans="1:21" x14ac:dyDescent="0.3">
      <c r="A19" s="31" t="s">
        <v>14</v>
      </c>
      <c r="B19" s="31" t="s">
        <v>36</v>
      </c>
      <c r="C19" s="31" t="s">
        <v>37</v>
      </c>
      <c r="D19" s="31" t="s">
        <v>38</v>
      </c>
      <c r="E19" s="33" t="s">
        <v>39</v>
      </c>
      <c r="F19" s="33" t="s">
        <v>40</v>
      </c>
      <c r="G19" s="35" t="s">
        <v>41</v>
      </c>
      <c r="H19" s="33" t="s">
        <v>42</v>
      </c>
      <c r="I19" s="36">
        <v>1.7647058823499999</v>
      </c>
      <c r="J19" s="33"/>
      <c r="K19" s="33" t="s">
        <v>43</v>
      </c>
      <c r="L19" s="33" t="s">
        <v>48</v>
      </c>
      <c r="M19" s="37"/>
      <c r="N19" s="33" t="s">
        <v>44</v>
      </c>
      <c r="O19" s="33" t="s">
        <v>48</v>
      </c>
      <c r="P19" s="37"/>
      <c r="Q19" s="33" t="s">
        <v>45</v>
      </c>
      <c r="R19" s="31" t="s">
        <v>48</v>
      </c>
    </row>
    <row r="20" spans="1:21" x14ac:dyDescent="0.3">
      <c r="A20" s="30" t="s">
        <v>12</v>
      </c>
      <c r="B20" t="s">
        <v>59</v>
      </c>
      <c r="C20">
        <v>34</v>
      </c>
      <c r="D20">
        <v>38</v>
      </c>
      <c r="E20" s="32">
        <v>42</v>
      </c>
      <c r="F20" s="32">
        <f>ROUNDUP(I19*C20, 0)</f>
        <v>60</v>
      </c>
      <c r="G20" s="34">
        <f>ROUNDUP(I19*D20, 0)</f>
        <v>68</v>
      </c>
      <c r="H20" s="32">
        <f>ROUNDUP(I19*E20, 0)</f>
        <v>75</v>
      </c>
      <c r="I20" s="36">
        <v>1.7647058823499999</v>
      </c>
      <c r="J20" s="32">
        <v>-10</v>
      </c>
      <c r="K20">
        <f>J20+F20</f>
        <v>50</v>
      </c>
      <c r="L20">
        <f>K20-C20</f>
        <v>16</v>
      </c>
      <c r="M20" s="37">
        <v>-8</v>
      </c>
      <c r="N20" s="34">
        <f>M20+G20</f>
        <v>60</v>
      </c>
      <c r="O20" s="34">
        <f>N20-D20</f>
        <v>22</v>
      </c>
      <c r="P20">
        <v>0</v>
      </c>
      <c r="Q20" s="32">
        <f>P20+H20</f>
        <v>75</v>
      </c>
      <c r="R20">
        <f>Q20-E20</f>
        <v>33</v>
      </c>
    </row>
    <row r="21" spans="1:21" x14ac:dyDescent="0.3">
      <c r="A21" s="30" t="s">
        <v>11</v>
      </c>
      <c r="B21" t="s">
        <v>60</v>
      </c>
      <c r="C21">
        <v>54</v>
      </c>
      <c r="D21">
        <v>61</v>
      </c>
      <c r="E21" s="32">
        <v>64</v>
      </c>
      <c r="F21" s="32">
        <f>ROUNDUP(I20*C21, 0)</f>
        <v>96</v>
      </c>
      <c r="G21" s="34">
        <f t="shared" ref="G21:G25" si="1">ROUNDUP(I20*D21, 0)</f>
        <v>108</v>
      </c>
      <c r="H21" s="32">
        <f t="shared" ref="H21:H25" si="2">ROUNDUP(I20*E21, 0)</f>
        <v>113</v>
      </c>
      <c r="I21" s="36">
        <v>1.7647058823499999</v>
      </c>
      <c r="J21" s="32">
        <v>-16</v>
      </c>
      <c r="K21">
        <f>J21+F21</f>
        <v>80</v>
      </c>
      <c r="L21">
        <f t="shared" ref="L21:L25" si="3">K21-C21</f>
        <v>26</v>
      </c>
      <c r="M21" s="37">
        <v>-18</v>
      </c>
      <c r="N21" s="34">
        <f>M21+G21</f>
        <v>90</v>
      </c>
      <c r="O21" s="34">
        <f t="shared" ref="O21:O25" si="4">N21-D21</f>
        <v>29</v>
      </c>
      <c r="P21">
        <v>-8</v>
      </c>
      <c r="Q21" s="32">
        <f t="shared" ref="Q21:Q25" si="5">P21+H21</f>
        <v>105</v>
      </c>
      <c r="R21">
        <f t="shared" ref="R21:R25" si="6">Q21-E21</f>
        <v>41</v>
      </c>
    </row>
    <row r="22" spans="1:21" x14ac:dyDescent="0.3">
      <c r="A22" s="30" t="s">
        <v>13</v>
      </c>
      <c r="B22" t="s">
        <v>61</v>
      </c>
      <c r="C22">
        <v>63</v>
      </c>
      <c r="D22">
        <v>68</v>
      </c>
      <c r="E22" s="32">
        <v>73</v>
      </c>
      <c r="F22" s="32">
        <f t="shared" ref="F22:F25" si="7">ROUNDUP(I21*C22, 0)</f>
        <v>112</v>
      </c>
      <c r="G22" s="34">
        <f t="shared" si="1"/>
        <v>120</v>
      </c>
      <c r="H22" s="32">
        <f t="shared" si="2"/>
        <v>129</v>
      </c>
      <c r="I22" s="36">
        <v>1.7647058823499999</v>
      </c>
      <c r="J22" s="32">
        <v>-12</v>
      </c>
      <c r="K22">
        <f t="shared" ref="K22:K25" si="8">J22+F22</f>
        <v>100</v>
      </c>
      <c r="L22">
        <f t="shared" si="3"/>
        <v>37</v>
      </c>
      <c r="M22" s="37">
        <v>-10</v>
      </c>
      <c r="N22" s="34">
        <f t="shared" ref="N21:N25" si="9">M22+G22</f>
        <v>110</v>
      </c>
      <c r="O22" s="34">
        <f t="shared" si="4"/>
        <v>42</v>
      </c>
      <c r="P22">
        <v>-4</v>
      </c>
      <c r="Q22" s="32">
        <f t="shared" si="5"/>
        <v>125</v>
      </c>
      <c r="R22">
        <f t="shared" si="6"/>
        <v>52</v>
      </c>
    </row>
    <row r="23" spans="1:21" x14ac:dyDescent="0.3">
      <c r="A23" s="30" t="s">
        <v>17</v>
      </c>
      <c r="B23" t="s">
        <v>62</v>
      </c>
      <c r="C23">
        <v>71</v>
      </c>
      <c r="D23">
        <v>75</v>
      </c>
      <c r="E23" s="32">
        <v>81</v>
      </c>
      <c r="F23" s="32">
        <f t="shared" si="7"/>
        <v>126</v>
      </c>
      <c r="G23" s="34">
        <f t="shared" si="1"/>
        <v>133</v>
      </c>
      <c r="H23" s="32">
        <f t="shared" si="2"/>
        <v>143</v>
      </c>
      <c r="I23" s="36">
        <v>1.7647058823499999</v>
      </c>
      <c r="J23" s="32">
        <v>-6</v>
      </c>
      <c r="K23">
        <f t="shared" si="8"/>
        <v>120</v>
      </c>
      <c r="L23">
        <f t="shared" si="3"/>
        <v>49</v>
      </c>
      <c r="M23" s="37">
        <v>-3</v>
      </c>
      <c r="N23" s="34">
        <f t="shared" si="9"/>
        <v>130</v>
      </c>
      <c r="O23" s="34">
        <f t="shared" si="4"/>
        <v>55</v>
      </c>
      <c r="P23">
        <v>2</v>
      </c>
      <c r="Q23" s="32">
        <f t="shared" si="5"/>
        <v>145</v>
      </c>
      <c r="R23">
        <f t="shared" si="6"/>
        <v>64</v>
      </c>
    </row>
    <row r="24" spans="1:21" x14ac:dyDescent="0.3">
      <c r="A24" s="30" t="s">
        <v>15</v>
      </c>
      <c r="B24" t="s">
        <v>63</v>
      </c>
      <c r="C24">
        <v>79</v>
      </c>
      <c r="D24">
        <v>88</v>
      </c>
      <c r="E24" s="32">
        <v>104</v>
      </c>
      <c r="F24" s="32">
        <f t="shared" si="7"/>
        <v>140</v>
      </c>
      <c r="G24" s="34">
        <f t="shared" si="1"/>
        <v>156</v>
      </c>
      <c r="H24" s="32">
        <f t="shared" si="2"/>
        <v>184</v>
      </c>
      <c r="I24" s="36">
        <v>1.7647058823499999</v>
      </c>
      <c r="J24" s="32">
        <v>-5</v>
      </c>
      <c r="K24">
        <f t="shared" si="8"/>
        <v>135</v>
      </c>
      <c r="L24">
        <f t="shared" si="3"/>
        <v>56</v>
      </c>
      <c r="M24" s="37">
        <v>-11</v>
      </c>
      <c r="N24" s="34">
        <f t="shared" si="9"/>
        <v>145</v>
      </c>
      <c r="O24" s="34">
        <f t="shared" si="4"/>
        <v>57</v>
      </c>
      <c r="P24">
        <v>-24</v>
      </c>
      <c r="Q24" s="32">
        <f t="shared" si="5"/>
        <v>160</v>
      </c>
      <c r="R24">
        <f t="shared" si="6"/>
        <v>56</v>
      </c>
    </row>
    <row r="25" spans="1:21" x14ac:dyDescent="0.3">
      <c r="A25" s="30" t="s">
        <v>16</v>
      </c>
      <c r="B25" t="s">
        <v>64</v>
      </c>
      <c r="C25">
        <v>85</v>
      </c>
      <c r="D25">
        <v>93</v>
      </c>
      <c r="E25" s="32">
        <v>110</v>
      </c>
      <c r="F25" s="32">
        <f t="shared" si="7"/>
        <v>150</v>
      </c>
      <c r="G25" s="34">
        <f t="shared" si="1"/>
        <v>165</v>
      </c>
      <c r="H25" s="32">
        <f t="shared" si="2"/>
        <v>195</v>
      </c>
      <c r="I25" s="36">
        <v>1.7647058823499999</v>
      </c>
      <c r="J25" s="32">
        <v>0</v>
      </c>
      <c r="K25">
        <f t="shared" si="8"/>
        <v>150</v>
      </c>
      <c r="L25">
        <f t="shared" si="3"/>
        <v>65</v>
      </c>
      <c r="M25" s="37">
        <v>-5</v>
      </c>
      <c r="N25" s="34">
        <f t="shared" si="9"/>
        <v>160</v>
      </c>
      <c r="O25" s="34">
        <f t="shared" si="4"/>
        <v>67</v>
      </c>
      <c r="P25">
        <v>-20</v>
      </c>
      <c r="Q25" s="32">
        <f t="shared" si="5"/>
        <v>175</v>
      </c>
      <c r="R25">
        <f t="shared" si="6"/>
        <v>65</v>
      </c>
    </row>
    <row r="27" spans="1:21" x14ac:dyDescent="0.3">
      <c r="J27" s="31" t="s">
        <v>50</v>
      </c>
      <c r="K27" s="31" t="s">
        <v>51</v>
      </c>
      <c r="L27" s="33" t="s">
        <v>49</v>
      </c>
      <c r="O27" s="31" t="s">
        <v>49</v>
      </c>
      <c r="R27" s="31" t="s">
        <v>49</v>
      </c>
    </row>
    <row r="28" spans="1:21" x14ac:dyDescent="0.3">
      <c r="J28" t="s">
        <v>10</v>
      </c>
      <c r="K28">
        <v>0.25</v>
      </c>
      <c r="L28">
        <f>L20*K28</f>
        <v>4</v>
      </c>
      <c r="O28">
        <f>O20*K28</f>
        <v>5.5</v>
      </c>
      <c r="R28">
        <f>R20*K28</f>
        <v>8.25</v>
      </c>
      <c r="T28" s="1">
        <v>42</v>
      </c>
      <c r="U28" s="38">
        <v>75</v>
      </c>
    </row>
    <row r="29" spans="1:21" x14ac:dyDescent="0.3">
      <c r="J29" t="s">
        <v>18</v>
      </c>
      <c r="K29">
        <v>0.25</v>
      </c>
      <c r="L29">
        <f t="shared" ref="L29:L33" si="10">L21*K29</f>
        <v>6.5</v>
      </c>
      <c r="O29">
        <f t="shared" ref="O29:O33" si="11">O21*K29</f>
        <v>7.25</v>
      </c>
      <c r="R29">
        <f t="shared" ref="R29:R33" si="12">R21*K29</f>
        <v>10.25</v>
      </c>
      <c r="T29" s="1">
        <v>64</v>
      </c>
      <c r="U29" s="38">
        <v>105</v>
      </c>
    </row>
    <row r="30" spans="1:21" x14ac:dyDescent="0.3">
      <c r="J30" t="s">
        <v>19</v>
      </c>
      <c r="K30">
        <v>0.25</v>
      </c>
      <c r="L30">
        <f t="shared" si="10"/>
        <v>9.25</v>
      </c>
      <c r="O30">
        <f t="shared" si="11"/>
        <v>10.5</v>
      </c>
      <c r="R30">
        <f t="shared" si="12"/>
        <v>13</v>
      </c>
      <c r="T30" s="1">
        <v>73</v>
      </c>
      <c r="U30" s="38">
        <v>125</v>
      </c>
    </row>
    <row r="31" spans="1:21" x14ac:dyDescent="0.3">
      <c r="J31" t="s">
        <v>20</v>
      </c>
      <c r="K31">
        <v>0.25</v>
      </c>
      <c r="L31">
        <f t="shared" si="10"/>
        <v>12.25</v>
      </c>
      <c r="O31">
        <f t="shared" si="11"/>
        <v>13.75</v>
      </c>
      <c r="R31">
        <f t="shared" si="12"/>
        <v>16</v>
      </c>
      <c r="T31" s="1">
        <v>81</v>
      </c>
      <c r="U31" s="38">
        <v>145</v>
      </c>
    </row>
    <row r="32" spans="1:21" x14ac:dyDescent="0.3">
      <c r="J32" t="s">
        <v>21</v>
      </c>
      <c r="K32">
        <v>0.25</v>
      </c>
      <c r="L32">
        <f t="shared" si="10"/>
        <v>14</v>
      </c>
      <c r="O32">
        <f t="shared" si="11"/>
        <v>14.25</v>
      </c>
      <c r="R32">
        <f t="shared" si="12"/>
        <v>14</v>
      </c>
      <c r="T32" s="1">
        <v>104</v>
      </c>
      <c r="U32" s="38">
        <v>160</v>
      </c>
    </row>
    <row r="33" spans="10:21" x14ac:dyDescent="0.3">
      <c r="J33" t="s">
        <v>22</v>
      </c>
      <c r="K33">
        <v>0.25</v>
      </c>
      <c r="L33">
        <f>L25*K33</f>
        <v>16.25</v>
      </c>
      <c r="O33">
        <f t="shared" si="11"/>
        <v>16.75</v>
      </c>
      <c r="R33">
        <f t="shared" si="12"/>
        <v>16.25</v>
      </c>
      <c r="T33" s="1">
        <v>110</v>
      </c>
      <c r="U33" s="38">
        <v>175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A69B-9DF3-4D30-B191-CBCF6C7B92D1}">
  <dimension ref="A1:I35"/>
  <sheetViews>
    <sheetView topLeftCell="A11" zoomScaleNormal="100" workbookViewId="0">
      <selection activeCell="A35" sqref="A35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9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9" x14ac:dyDescent="0.3">
      <c r="A2" t="s">
        <v>65</v>
      </c>
      <c r="B2" s="1">
        <v>42</v>
      </c>
      <c r="C2" s="38">
        <v>75</v>
      </c>
      <c r="D2" s="2">
        <f>Table24[[#This Row],[Retail Price]]-Table24[[#This Row],[Supplier Price]]</f>
        <v>33</v>
      </c>
      <c r="E2" s="21"/>
      <c r="F2" s="26"/>
      <c r="G2" s="15">
        <v>0</v>
      </c>
      <c r="H2" s="6">
        <f>Table24[[#This Row],[Quantity Sold]]*Table24[[#This Row],[Profit Margin]]</f>
        <v>0</v>
      </c>
      <c r="I2" s="19">
        <f>SUM(H:H)</f>
        <v>0</v>
      </c>
    </row>
    <row r="3" spans="1:9" x14ac:dyDescent="0.3">
      <c r="A3" t="s">
        <v>66</v>
      </c>
      <c r="B3" s="1">
        <v>64</v>
      </c>
      <c r="C3" s="38">
        <v>105</v>
      </c>
      <c r="D3" s="2">
        <f>Table24[[#This Row],[Retail Price]]-Table24[[#This Row],[Supplier Price]]</f>
        <v>41</v>
      </c>
      <c r="E3" s="22"/>
      <c r="F3" s="27"/>
      <c r="G3" s="15">
        <v>0</v>
      </c>
      <c r="H3" s="7">
        <f>Table24[[#This Row],[Quantity Sold]]*Table24[[#This Row],[Profit Margin]]</f>
        <v>0</v>
      </c>
      <c r="I3" s="19"/>
    </row>
    <row r="4" spans="1:9" x14ac:dyDescent="0.3">
      <c r="A4" t="s">
        <v>67</v>
      </c>
      <c r="B4" s="1">
        <v>73</v>
      </c>
      <c r="C4" s="38">
        <v>125</v>
      </c>
      <c r="D4" s="2">
        <f>Table24[[#This Row],[Retail Price]]-Table24[[#This Row],[Supplier Price]]</f>
        <v>52</v>
      </c>
      <c r="E4" s="21"/>
      <c r="F4" s="26"/>
      <c r="G4" s="15">
        <v>0</v>
      </c>
      <c r="H4" s="6">
        <f>Table24[[#This Row],[Quantity Sold]]*Table24[[#This Row],[Profit Margin]]</f>
        <v>0</v>
      </c>
      <c r="I4" s="19"/>
    </row>
    <row r="5" spans="1:9" x14ac:dyDescent="0.3">
      <c r="A5" t="s">
        <v>68</v>
      </c>
      <c r="B5" s="1">
        <v>81</v>
      </c>
      <c r="C5" s="38">
        <v>145</v>
      </c>
      <c r="D5" s="2">
        <f>Table24[[#This Row],[Retail Price]]-Table24[[#This Row],[Supplier Price]]</f>
        <v>64</v>
      </c>
      <c r="E5" s="22"/>
      <c r="F5" s="27"/>
      <c r="G5" s="15">
        <v>0</v>
      </c>
      <c r="H5" s="7">
        <f>Table24[[#This Row],[Quantity Sold]]*Table24[[#This Row],[Profit Margin]]</f>
        <v>0</v>
      </c>
      <c r="I5" s="19"/>
    </row>
    <row r="6" spans="1:9" x14ac:dyDescent="0.3">
      <c r="A6" t="s">
        <v>69</v>
      </c>
      <c r="B6" s="1">
        <v>104</v>
      </c>
      <c r="C6" s="38">
        <v>160</v>
      </c>
      <c r="D6" s="2">
        <f>Table24[[#This Row],[Retail Price]]-Table24[[#This Row],[Supplier Price]]</f>
        <v>56</v>
      </c>
      <c r="E6" s="21"/>
      <c r="F6" s="26"/>
      <c r="G6" s="15">
        <v>0</v>
      </c>
      <c r="H6" s="6">
        <f>Table24[[#This Row],[Quantity Sold]]*Table24[[#This Row],[Profit Margin]]</f>
        <v>0</v>
      </c>
      <c r="I6" s="19"/>
    </row>
    <row r="7" spans="1:9" x14ac:dyDescent="0.3">
      <c r="A7" t="s">
        <v>70</v>
      </c>
      <c r="B7" s="1">
        <v>110</v>
      </c>
      <c r="C7" s="38">
        <v>175</v>
      </c>
      <c r="D7" s="2">
        <f>Table24[[#This Row],[Retail Price]]-Table24[[#This Row],[Supplier Price]]</f>
        <v>65</v>
      </c>
      <c r="E7" s="22"/>
      <c r="F7" s="27"/>
      <c r="G7" s="15">
        <v>0</v>
      </c>
      <c r="H7" s="7">
        <f>Table24[[#This Row],[Quantity Sold]]*Table24[[#This Row],[Profit Margin]]</f>
        <v>0</v>
      </c>
      <c r="I7" s="19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t="s">
        <v>71</v>
      </c>
      <c r="B9" s="1">
        <v>42</v>
      </c>
      <c r="C9" s="38">
        <v>75</v>
      </c>
      <c r="D9" s="2">
        <f>Table24[[#This Row],[Retail Price]]-Table24[[#This Row],[Supplier Price]]</f>
        <v>33</v>
      </c>
      <c r="E9" s="22"/>
      <c r="F9" s="27"/>
      <c r="G9" s="15">
        <v>0</v>
      </c>
      <c r="H9" s="7">
        <f>Table24[[#This Row],[Quantity Sold]]*Table24[[#This Row],[Profit Margin]]</f>
        <v>0</v>
      </c>
      <c r="I9" s="19"/>
    </row>
    <row r="10" spans="1:9" x14ac:dyDescent="0.3">
      <c r="A10" t="s">
        <v>72</v>
      </c>
      <c r="B10" s="1">
        <v>64</v>
      </c>
      <c r="C10" s="38">
        <v>105</v>
      </c>
      <c r="D10" s="2">
        <f>Table24[[#This Row],[Retail Price]]-Table24[[#This Row],[Supplier Price]]</f>
        <v>41</v>
      </c>
      <c r="E10" s="21"/>
      <c r="F10" s="26"/>
      <c r="G10" s="15">
        <v>0</v>
      </c>
      <c r="H10" s="6">
        <f>Table24[[#This Row],[Quantity Sold]]*Table24[[#This Row],[Profit Margin]]</f>
        <v>0</v>
      </c>
      <c r="I10" s="19"/>
    </row>
    <row r="11" spans="1:9" x14ac:dyDescent="0.3">
      <c r="A11" t="s">
        <v>73</v>
      </c>
      <c r="B11" s="1">
        <v>73</v>
      </c>
      <c r="C11" s="38">
        <v>125</v>
      </c>
      <c r="D11" s="2">
        <f>Table24[[#This Row],[Retail Price]]-Table24[[#This Row],[Supplier Price]]</f>
        <v>52</v>
      </c>
      <c r="E11" s="22"/>
      <c r="F11" s="27"/>
      <c r="G11" s="15">
        <v>0</v>
      </c>
      <c r="H11" s="7">
        <f>Table24[[#This Row],[Quantity Sold]]*Table24[[#This Row],[Profit Margin]]</f>
        <v>0</v>
      </c>
      <c r="I11" s="19"/>
    </row>
    <row r="12" spans="1:9" x14ac:dyDescent="0.3">
      <c r="A12" t="s">
        <v>74</v>
      </c>
      <c r="B12" s="1">
        <v>81</v>
      </c>
      <c r="C12" s="38">
        <v>145</v>
      </c>
      <c r="D12" s="2">
        <f>Table24[[#This Row],[Retail Price]]-Table24[[#This Row],[Supplier Price]]</f>
        <v>64</v>
      </c>
      <c r="E12" s="21"/>
      <c r="F12" s="26"/>
      <c r="G12" s="15">
        <v>0</v>
      </c>
      <c r="H12" s="6">
        <f>Table24[[#This Row],[Quantity Sold]]*Table24[[#This Row],[Profit Margin]]</f>
        <v>0</v>
      </c>
      <c r="I12" s="19"/>
    </row>
    <row r="13" spans="1:9" x14ac:dyDescent="0.3">
      <c r="A13" t="s">
        <v>75</v>
      </c>
      <c r="B13" s="1">
        <v>104</v>
      </c>
      <c r="C13" s="38">
        <v>160</v>
      </c>
      <c r="D13" s="2">
        <f>Table24[[#This Row],[Retail Price]]-Table24[[#This Row],[Supplier Price]]</f>
        <v>56</v>
      </c>
      <c r="E13" s="22"/>
      <c r="F13" s="27"/>
      <c r="G13" s="15">
        <v>0</v>
      </c>
      <c r="H13" s="7">
        <f>Table24[[#This Row],[Quantity Sold]]*Table24[[#This Row],[Profit Margin]]</f>
        <v>0</v>
      </c>
      <c r="I13" s="19"/>
    </row>
    <row r="14" spans="1:9" x14ac:dyDescent="0.3">
      <c r="A14" t="s">
        <v>76</v>
      </c>
      <c r="B14" s="1">
        <v>110</v>
      </c>
      <c r="C14" s="38">
        <v>175</v>
      </c>
      <c r="D14" s="2">
        <f>Table24[[#This Row],[Retail Price]]-Table24[[#This Row],[Supplier Price]]</f>
        <v>65</v>
      </c>
      <c r="E14" s="21"/>
      <c r="F14" s="26"/>
      <c r="G14" s="15">
        <v>0</v>
      </c>
      <c r="H14" s="6">
        <f>Table24[[#This Row],[Quantity Sold]]*Table24[[#This Row],[Profit Margin]]</f>
        <v>0</v>
      </c>
      <c r="I14" s="19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t="s">
        <v>77</v>
      </c>
      <c r="B16" s="1">
        <v>42</v>
      </c>
      <c r="C16" s="38">
        <v>75</v>
      </c>
      <c r="D16" s="2">
        <f>Table24[[#This Row],[Retail Price]]-Table24[[#This Row],[Supplier Price]]</f>
        <v>33</v>
      </c>
      <c r="E16" s="23"/>
      <c r="F16" s="28"/>
      <c r="G16" s="15">
        <v>0</v>
      </c>
      <c r="H16" s="14">
        <f>Table24[[#This Row],[Quantity Sold]]*Table24[[#This Row],[Profit Margin]]</f>
        <v>0</v>
      </c>
      <c r="I16" s="19"/>
    </row>
    <row r="17" spans="1:9" x14ac:dyDescent="0.3">
      <c r="A17" t="s">
        <v>78</v>
      </c>
      <c r="B17" s="1">
        <v>64</v>
      </c>
      <c r="C17" s="38">
        <v>105</v>
      </c>
      <c r="D17" s="2">
        <f>Table24[[#This Row],[Retail Price]]-Table24[[#This Row],[Supplier Price]]</f>
        <v>41</v>
      </c>
      <c r="E17" s="21"/>
      <c r="F17" s="26"/>
      <c r="G17" s="15">
        <v>0</v>
      </c>
      <c r="H17" s="6">
        <f>Table24[[#This Row],[Quantity Sold]]*Table24[[#This Row],[Profit Margin]]</f>
        <v>0</v>
      </c>
      <c r="I17" s="19"/>
    </row>
    <row r="18" spans="1:9" x14ac:dyDescent="0.3">
      <c r="A18" t="s">
        <v>79</v>
      </c>
      <c r="B18" s="1">
        <v>73</v>
      </c>
      <c r="C18" s="38">
        <v>125</v>
      </c>
      <c r="D18" s="2">
        <f>Table24[[#This Row],[Retail Price]]-Table24[[#This Row],[Supplier Price]]</f>
        <v>52</v>
      </c>
      <c r="E18" s="21"/>
      <c r="F18" s="26"/>
      <c r="G18" s="15">
        <v>0</v>
      </c>
      <c r="H18" s="6">
        <f>Table24[[#This Row],[Quantity Sold]]*Table24[[#This Row],[Profit Margin]]</f>
        <v>0</v>
      </c>
      <c r="I18" s="19"/>
    </row>
    <row r="19" spans="1:9" x14ac:dyDescent="0.3">
      <c r="A19" t="s">
        <v>80</v>
      </c>
      <c r="B19" s="1">
        <v>81</v>
      </c>
      <c r="C19" s="38">
        <v>145</v>
      </c>
      <c r="D19" s="2">
        <f>Table24[[#This Row],[Retail Price]]-Table24[[#This Row],[Supplier Price]]</f>
        <v>64</v>
      </c>
      <c r="E19" s="21"/>
      <c r="F19" s="26"/>
      <c r="G19" s="15">
        <v>0</v>
      </c>
      <c r="H19" s="6">
        <f>Table24[[#This Row],[Quantity Sold]]*Table24[[#This Row],[Profit Margin]]</f>
        <v>0</v>
      </c>
      <c r="I19" s="19"/>
    </row>
    <row r="20" spans="1:9" x14ac:dyDescent="0.3">
      <c r="A20" t="s">
        <v>81</v>
      </c>
      <c r="B20" s="1">
        <v>104</v>
      </c>
      <c r="C20" s="38">
        <v>160</v>
      </c>
      <c r="D20" s="2">
        <f>Table24[[#This Row],[Retail Price]]-Table24[[#This Row],[Supplier Price]]</f>
        <v>56</v>
      </c>
      <c r="E20" s="21"/>
      <c r="F20" s="26"/>
      <c r="G20" s="15">
        <v>0</v>
      </c>
      <c r="H20" s="6">
        <f>Table24[[#This Row],[Quantity Sold]]*Table24[[#This Row],[Profit Margin]]</f>
        <v>0</v>
      </c>
      <c r="I20" s="19"/>
    </row>
    <row r="21" spans="1:9" x14ac:dyDescent="0.3">
      <c r="A21" t="s">
        <v>82</v>
      </c>
      <c r="B21" s="1">
        <v>110</v>
      </c>
      <c r="C21" s="38">
        <v>175</v>
      </c>
      <c r="D21" s="2">
        <f>Table24[[#This Row],[Retail Price]]-Table24[[#This Row],[Supplier Price]]</f>
        <v>65</v>
      </c>
      <c r="E21" s="21"/>
      <c r="F21" s="26"/>
      <c r="G21" s="15">
        <v>0</v>
      </c>
      <c r="H21" s="6">
        <f>Table24[[#This Row],[Quantity Sold]]*Table24[[#This Row],[Profit Margin]]</f>
        <v>0</v>
      </c>
      <c r="I21" s="19"/>
    </row>
    <row r="22" spans="1:9" x14ac:dyDescent="0.3">
      <c r="A22" s="4"/>
      <c r="B22" s="2"/>
      <c r="C22" s="2"/>
      <c r="D22" s="2"/>
      <c r="E22" s="21"/>
      <c r="F22" s="26"/>
      <c r="G22" s="26"/>
      <c r="H22" s="6">
        <f>Table24[[#This Row],[Quantity Sold]]*Table24[[#This Row],[Profit Margin]]</f>
        <v>0</v>
      </c>
      <c r="I22" s="19"/>
    </row>
    <row r="23" spans="1:9" x14ac:dyDescent="0.3">
      <c r="A23" s="4" t="s">
        <v>83</v>
      </c>
      <c r="B23" s="1">
        <v>42</v>
      </c>
      <c r="C23" s="38">
        <v>75</v>
      </c>
      <c r="D23" s="2">
        <f>Table24[[#This Row],[Retail Price]]-Table24[[#This Row],[Supplier Price]]</f>
        <v>33</v>
      </c>
      <c r="E23" s="21"/>
      <c r="F23" s="26"/>
      <c r="G23" s="15">
        <v>0</v>
      </c>
      <c r="H23" s="6">
        <f>Table24[[#This Row],[Quantity Sold]]*Table24[[#This Row],[Profit Margin]]</f>
        <v>0</v>
      </c>
      <c r="I23" s="19"/>
    </row>
    <row r="24" spans="1:9" x14ac:dyDescent="0.3">
      <c r="A24" s="4" t="s">
        <v>84</v>
      </c>
      <c r="B24" s="1">
        <v>64</v>
      </c>
      <c r="C24" s="38">
        <v>105</v>
      </c>
      <c r="D24" s="2">
        <f>Table24[[#This Row],[Retail Price]]-Table24[[#This Row],[Supplier Price]]</f>
        <v>41</v>
      </c>
      <c r="E24" s="21"/>
      <c r="F24" s="26"/>
      <c r="G24" s="15">
        <v>0</v>
      </c>
      <c r="H24" s="6">
        <f>Table24[[#This Row],[Quantity Sold]]*Table24[[#This Row],[Profit Margin]]</f>
        <v>0</v>
      </c>
      <c r="I24" s="19"/>
    </row>
    <row r="25" spans="1:9" x14ac:dyDescent="0.3">
      <c r="A25" s="4" t="s">
        <v>85</v>
      </c>
      <c r="B25" s="1">
        <v>73</v>
      </c>
      <c r="C25" s="38">
        <v>125</v>
      </c>
      <c r="D25" s="2">
        <f>Table24[[#This Row],[Retail Price]]-Table24[[#This Row],[Supplier Price]]</f>
        <v>52</v>
      </c>
      <c r="E25" s="21"/>
      <c r="F25" s="26"/>
      <c r="G25" s="15">
        <v>0</v>
      </c>
      <c r="H25" s="6">
        <f>Table24[[#This Row],[Quantity Sold]]*Table24[[#This Row],[Profit Margin]]</f>
        <v>0</v>
      </c>
      <c r="I25" s="19"/>
    </row>
    <row r="26" spans="1:9" x14ac:dyDescent="0.3">
      <c r="A26" s="4" t="s">
        <v>86</v>
      </c>
      <c r="B26" s="1">
        <v>81</v>
      </c>
      <c r="C26" s="38">
        <v>145</v>
      </c>
      <c r="D26" s="2">
        <f>Table24[[#This Row],[Retail Price]]-Table24[[#This Row],[Supplier Price]]</f>
        <v>64</v>
      </c>
      <c r="E26" s="21"/>
      <c r="F26" s="26"/>
      <c r="G26" s="15">
        <v>0</v>
      </c>
      <c r="H26" s="6">
        <f>Table24[[#This Row],[Quantity Sold]]*Table24[[#This Row],[Profit Margin]]</f>
        <v>0</v>
      </c>
      <c r="I26" s="19"/>
    </row>
    <row r="27" spans="1:9" x14ac:dyDescent="0.3">
      <c r="A27" s="12" t="s">
        <v>87</v>
      </c>
      <c r="B27" s="1">
        <v>104</v>
      </c>
      <c r="C27" s="38">
        <v>160</v>
      </c>
      <c r="D27" s="2">
        <f>Table24[[#This Row],[Retail Price]]-Table24[[#This Row],[Supplier Price]]</f>
        <v>56</v>
      </c>
      <c r="E27" s="23"/>
      <c r="F27" s="28"/>
      <c r="G27" s="15">
        <v>0</v>
      </c>
      <c r="H27" s="14">
        <f>Table24[[#This Row],[Quantity Sold]]*Table24[[#This Row],[Profit Margin]]</f>
        <v>0</v>
      </c>
      <c r="I27" s="19"/>
    </row>
    <row r="28" spans="1:9" x14ac:dyDescent="0.3">
      <c r="A28" s="12" t="s">
        <v>88</v>
      </c>
      <c r="B28" s="1">
        <v>110</v>
      </c>
      <c r="C28" s="38">
        <v>175</v>
      </c>
      <c r="D28" s="2">
        <f>Table24[[#This Row],[Retail Price]]-Table24[[#This Row],[Supplier Price]]</f>
        <v>65</v>
      </c>
      <c r="E28" s="21"/>
      <c r="F28" s="26"/>
      <c r="G28" s="15">
        <v>0</v>
      </c>
      <c r="H28" s="6">
        <f>Table24[[#This Row],[Quantity Sold]]*Table24[[#This Row],[Profit Margin]]</f>
        <v>0</v>
      </c>
      <c r="I28" s="19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19"/>
    </row>
    <row r="30" spans="1:9" x14ac:dyDescent="0.3">
      <c r="A30" s="4" t="s">
        <v>89</v>
      </c>
      <c r="B30" s="1">
        <v>42</v>
      </c>
      <c r="C30" s="38">
        <v>75</v>
      </c>
      <c r="D30" s="2">
        <f>Table24[[#This Row],[Retail Price]]-Table24[[#This Row],[Supplier Price]]</f>
        <v>33</v>
      </c>
      <c r="E30" s="21"/>
      <c r="F30" s="26"/>
      <c r="G30" s="15">
        <v>0</v>
      </c>
      <c r="H30" s="6">
        <f>Table24[[#This Row],[Quantity Sold]]*Table24[[#This Row],[Profit Margin]]</f>
        <v>0</v>
      </c>
      <c r="I30" s="19"/>
    </row>
    <row r="31" spans="1:9" x14ac:dyDescent="0.3">
      <c r="A31" s="4" t="s">
        <v>90</v>
      </c>
      <c r="B31" s="1">
        <v>64</v>
      </c>
      <c r="C31" s="38">
        <v>105</v>
      </c>
      <c r="D31" s="2">
        <f>Table24[[#This Row],[Retail Price]]-Table24[[#This Row],[Supplier Price]]</f>
        <v>41</v>
      </c>
      <c r="E31" s="21"/>
      <c r="F31" s="26"/>
      <c r="G31" s="15">
        <v>0</v>
      </c>
      <c r="H31" s="6">
        <f>Table24[[#This Row],[Quantity Sold]]*Table24[[#This Row],[Profit Margin]]</f>
        <v>0</v>
      </c>
      <c r="I31" s="19"/>
    </row>
    <row r="32" spans="1:9" x14ac:dyDescent="0.3">
      <c r="A32" s="4" t="s">
        <v>91</v>
      </c>
      <c r="B32" s="1">
        <v>73</v>
      </c>
      <c r="C32" s="38">
        <v>125</v>
      </c>
      <c r="D32" s="2">
        <f>Table24[[#This Row],[Retail Price]]-Table24[[#This Row],[Supplier Price]]</f>
        <v>52</v>
      </c>
      <c r="E32" s="21"/>
      <c r="F32" s="26"/>
      <c r="G32" s="15">
        <v>0</v>
      </c>
      <c r="H32" s="6">
        <f>Table24[[#This Row],[Quantity Sold]]*Table24[[#This Row],[Profit Margin]]</f>
        <v>0</v>
      </c>
      <c r="I32" s="19"/>
    </row>
    <row r="33" spans="1:9" x14ac:dyDescent="0.3">
      <c r="A33" s="4" t="s">
        <v>92</v>
      </c>
      <c r="B33" s="1">
        <v>81</v>
      </c>
      <c r="C33" s="38">
        <v>145</v>
      </c>
      <c r="D33" s="2">
        <f>Table24[[#This Row],[Retail Price]]-Table24[[#This Row],[Supplier Price]]</f>
        <v>64</v>
      </c>
      <c r="E33" s="21"/>
      <c r="F33" s="26"/>
      <c r="G33" s="15">
        <v>0</v>
      </c>
      <c r="H33" s="6">
        <f>Table24[[#This Row],[Quantity Sold]]*Table24[[#This Row],[Profit Margin]]</f>
        <v>0</v>
      </c>
      <c r="I33" s="19"/>
    </row>
    <row r="34" spans="1:9" x14ac:dyDescent="0.3">
      <c r="A34" s="12" t="s">
        <v>93</v>
      </c>
      <c r="B34" s="1">
        <v>104</v>
      </c>
      <c r="C34" s="38">
        <v>160</v>
      </c>
      <c r="D34" s="2">
        <f>Table24[[#This Row],[Retail Price]]-Table24[[#This Row],[Supplier Price]]</f>
        <v>56</v>
      </c>
      <c r="E34" s="23"/>
      <c r="F34" s="28"/>
      <c r="G34" s="15">
        <v>0</v>
      </c>
      <c r="H34" s="14">
        <f>Table24[[#This Row],[Quantity Sold]]*Table24[[#This Row],[Profit Margin]]</f>
        <v>0</v>
      </c>
      <c r="I34" s="19"/>
    </row>
    <row r="35" spans="1:9" x14ac:dyDescent="0.3">
      <c r="A35" s="12" t="s">
        <v>94</v>
      </c>
      <c r="B35" s="1">
        <v>110</v>
      </c>
      <c r="C35" s="38">
        <v>175</v>
      </c>
      <c r="D35" s="2">
        <f>Table24[[#This Row],[Retail Price]]-Table24[[#This Row],[Supplier Price]]</f>
        <v>65</v>
      </c>
      <c r="E35" s="21"/>
      <c r="F35" s="26"/>
      <c r="G35" s="15">
        <v>0</v>
      </c>
      <c r="H35" s="6">
        <f>Table24[[#This Row],[Quantity Sold]]*Table24[[#This Row],[Profit Margin]]</f>
        <v>0</v>
      </c>
      <c r="I35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297-97D0-443A-924D-C35A65E9DF76}">
  <dimension ref="A1:I35"/>
  <sheetViews>
    <sheetView zoomScaleNormal="100" workbookViewId="0">
      <selection activeCell="B2" sqref="B2:C7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9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9" x14ac:dyDescent="0.3">
      <c r="A2" s="4"/>
      <c r="B2" s="1">
        <v>42</v>
      </c>
      <c r="C2" s="38">
        <v>75</v>
      </c>
      <c r="D2" s="2">
        <f>Table249[[#This Row],[Retail Price]]-Table249[[#This Row],[Supplier Price]]</f>
        <v>33</v>
      </c>
      <c r="E2" s="21"/>
      <c r="F2" s="26"/>
      <c r="G2" s="15">
        <v>0</v>
      </c>
      <c r="H2" s="6">
        <f>Table249[[#This Row],[Quantity Sold]]*Table249[[#This Row],[Profit Margin]]</f>
        <v>0</v>
      </c>
      <c r="I2" s="19">
        <f>SUM(H:H)</f>
        <v>0</v>
      </c>
    </row>
    <row r="3" spans="1:9" x14ac:dyDescent="0.3">
      <c r="A3" s="5"/>
      <c r="B3" s="1">
        <v>64</v>
      </c>
      <c r="C3" s="38">
        <v>105</v>
      </c>
      <c r="D3" s="3">
        <f>Table249[[#This Row],[Retail Price]]-Table249[[#This Row],[Supplier Price]]</f>
        <v>41</v>
      </c>
      <c r="E3" s="22"/>
      <c r="F3" s="27"/>
      <c r="G3" s="15">
        <v>0</v>
      </c>
      <c r="H3" s="7">
        <f>Table249[[#This Row],[Quantity Sold]]*Table249[[#This Row],[Profit Margin]]</f>
        <v>0</v>
      </c>
      <c r="I3" s="19"/>
    </row>
    <row r="4" spans="1:9" x14ac:dyDescent="0.3">
      <c r="A4" s="4"/>
      <c r="B4" s="1">
        <v>73</v>
      </c>
      <c r="C4" s="38">
        <v>125</v>
      </c>
      <c r="D4" s="2">
        <f>Table249[[#This Row],[Retail Price]]-Table249[[#This Row],[Supplier Price]]</f>
        <v>52</v>
      </c>
      <c r="E4" s="21"/>
      <c r="F4" s="26"/>
      <c r="G4" s="15">
        <v>0</v>
      </c>
      <c r="H4" s="6">
        <f>Table249[[#This Row],[Quantity Sold]]*Table249[[#This Row],[Profit Margin]]</f>
        <v>0</v>
      </c>
      <c r="I4" s="19"/>
    </row>
    <row r="5" spans="1:9" x14ac:dyDescent="0.3">
      <c r="A5" s="5"/>
      <c r="B5" s="1">
        <v>81</v>
      </c>
      <c r="C5" s="38">
        <v>145</v>
      </c>
      <c r="D5" s="3">
        <f>Table249[[#This Row],[Retail Price]]-Table249[[#This Row],[Supplier Price]]</f>
        <v>64</v>
      </c>
      <c r="E5" s="22"/>
      <c r="F5" s="27"/>
      <c r="G5" s="15">
        <v>0</v>
      </c>
      <c r="H5" s="7">
        <f>Table249[[#This Row],[Quantity Sold]]*Table249[[#This Row],[Profit Margin]]</f>
        <v>0</v>
      </c>
      <c r="I5" s="19"/>
    </row>
    <row r="6" spans="1:9" x14ac:dyDescent="0.3">
      <c r="A6" s="4"/>
      <c r="B6" s="1">
        <v>104</v>
      </c>
      <c r="C6" s="38">
        <v>160</v>
      </c>
      <c r="D6" s="2">
        <f>Table249[[#This Row],[Retail Price]]-Table249[[#This Row],[Supplier Price]]</f>
        <v>56</v>
      </c>
      <c r="E6" s="21"/>
      <c r="F6" s="26"/>
      <c r="G6" s="15">
        <v>0</v>
      </c>
      <c r="H6" s="6">
        <f>Table249[[#This Row],[Quantity Sold]]*Table249[[#This Row],[Profit Margin]]</f>
        <v>0</v>
      </c>
      <c r="I6" s="19"/>
    </row>
    <row r="7" spans="1:9" x14ac:dyDescent="0.3">
      <c r="A7" s="5"/>
      <c r="B7" s="1">
        <v>110</v>
      </c>
      <c r="C7" s="38">
        <v>175</v>
      </c>
      <c r="D7" s="3">
        <f>Table249[[#This Row],[Retail Price]]-Table249[[#This Row],[Supplier Price]]</f>
        <v>65</v>
      </c>
      <c r="E7" s="22"/>
      <c r="F7" s="27"/>
      <c r="G7" s="15">
        <v>0</v>
      </c>
      <c r="H7" s="7">
        <f>Table249[[#This Row],[Quantity Sold]]*Table249[[#This Row],[Profit Margin]]</f>
        <v>0</v>
      </c>
      <c r="I7" s="19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x14ac:dyDescent="0.3">
      <c r="A9" s="5"/>
      <c r="B9" s="1">
        <v>42</v>
      </c>
      <c r="C9" s="38">
        <v>75</v>
      </c>
      <c r="D9" s="3">
        <f>Table249[[#This Row],[Retail Price]]-Table249[[#This Row],[Supplier Price]]</f>
        <v>33</v>
      </c>
      <c r="E9" s="22"/>
      <c r="F9" s="27"/>
      <c r="G9" s="15">
        <v>0</v>
      </c>
      <c r="H9" s="7">
        <f>Table249[[#This Row],[Quantity Sold]]*Table249[[#This Row],[Profit Margin]]</f>
        <v>0</v>
      </c>
      <c r="I9" s="19"/>
    </row>
    <row r="10" spans="1:9" x14ac:dyDescent="0.3">
      <c r="A10" s="4"/>
      <c r="B10" s="1">
        <v>64</v>
      </c>
      <c r="C10" s="38">
        <v>105</v>
      </c>
      <c r="D10" s="2">
        <f>Table249[[#This Row],[Retail Price]]-Table249[[#This Row],[Supplier Price]]</f>
        <v>41</v>
      </c>
      <c r="E10" s="21"/>
      <c r="F10" s="26"/>
      <c r="G10" s="15">
        <v>0</v>
      </c>
      <c r="H10" s="6">
        <f>Table249[[#This Row],[Quantity Sold]]*Table249[[#This Row],[Profit Margin]]</f>
        <v>0</v>
      </c>
      <c r="I10" s="19"/>
    </row>
    <row r="11" spans="1:9" x14ac:dyDescent="0.3">
      <c r="A11" s="5"/>
      <c r="B11" s="1">
        <v>73</v>
      </c>
      <c r="C11" s="38">
        <v>125</v>
      </c>
      <c r="D11" s="3">
        <f>Table249[[#This Row],[Retail Price]]-Table249[[#This Row],[Supplier Price]]</f>
        <v>52</v>
      </c>
      <c r="E11" s="22"/>
      <c r="F11" s="27"/>
      <c r="G11" s="15">
        <v>0</v>
      </c>
      <c r="H11" s="7">
        <f>Table249[[#This Row],[Quantity Sold]]*Table249[[#This Row],[Profit Margin]]</f>
        <v>0</v>
      </c>
      <c r="I11" s="19"/>
    </row>
    <row r="12" spans="1:9" x14ac:dyDescent="0.3">
      <c r="A12" s="4"/>
      <c r="B12" s="1">
        <v>81</v>
      </c>
      <c r="C12" s="38">
        <v>145</v>
      </c>
      <c r="D12" s="2">
        <f>Table249[[#This Row],[Retail Price]]-Table249[[#This Row],[Supplier Price]]</f>
        <v>64</v>
      </c>
      <c r="E12" s="21"/>
      <c r="F12" s="26"/>
      <c r="G12" s="15">
        <v>0</v>
      </c>
      <c r="H12" s="6">
        <f>Table249[[#This Row],[Quantity Sold]]*Table249[[#This Row],[Profit Margin]]</f>
        <v>0</v>
      </c>
      <c r="I12" s="19"/>
    </row>
    <row r="13" spans="1:9" x14ac:dyDescent="0.3">
      <c r="A13" s="5"/>
      <c r="B13" s="1">
        <v>104</v>
      </c>
      <c r="C13" s="38">
        <v>160</v>
      </c>
      <c r="D13" s="3">
        <f>Table249[[#This Row],[Retail Price]]-Table249[[#This Row],[Supplier Price]]</f>
        <v>56</v>
      </c>
      <c r="E13" s="22"/>
      <c r="F13" s="27"/>
      <c r="G13" s="15">
        <v>0</v>
      </c>
      <c r="H13" s="7">
        <f>Table249[[#This Row],[Quantity Sold]]*Table249[[#This Row],[Profit Margin]]</f>
        <v>0</v>
      </c>
      <c r="I13" s="19"/>
    </row>
    <row r="14" spans="1:9" x14ac:dyDescent="0.3">
      <c r="A14" s="4"/>
      <c r="B14" s="1">
        <v>110</v>
      </c>
      <c r="C14" s="38">
        <v>175</v>
      </c>
      <c r="D14" s="2">
        <f>Table249[[#This Row],[Retail Price]]-Table249[[#This Row],[Supplier Price]]</f>
        <v>65</v>
      </c>
      <c r="E14" s="21"/>
      <c r="F14" s="26"/>
      <c r="G14" s="15">
        <v>0</v>
      </c>
      <c r="H14" s="6">
        <f>Table249[[#This Row],[Quantity Sold]]*Table249[[#This Row],[Profit Margin]]</f>
        <v>0</v>
      </c>
      <c r="I14" s="19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12"/>
      <c r="B16" s="1">
        <v>42</v>
      </c>
      <c r="C16" s="38">
        <v>75</v>
      </c>
      <c r="D16" s="13">
        <f>Table249[[#This Row],[Retail Price]]-Table249[[#This Row],[Supplier Price]]</f>
        <v>33</v>
      </c>
      <c r="E16" s="23"/>
      <c r="F16" s="28"/>
      <c r="G16" s="15">
        <v>0</v>
      </c>
      <c r="H16" s="14">
        <f>Table249[[#This Row],[Quantity Sold]]*Table249[[#This Row],[Profit Margin]]</f>
        <v>0</v>
      </c>
      <c r="I16" s="19"/>
    </row>
    <row r="17" spans="1:9" x14ac:dyDescent="0.3">
      <c r="A17" s="4"/>
      <c r="B17" s="1">
        <v>64</v>
      </c>
      <c r="C17" s="38">
        <v>105</v>
      </c>
      <c r="D17" s="2">
        <f>Table249[[#This Row],[Retail Price]]-Table249[[#This Row],[Supplier Price]]</f>
        <v>41</v>
      </c>
      <c r="E17" s="21"/>
      <c r="F17" s="26"/>
      <c r="G17" s="15"/>
      <c r="H17" s="6">
        <f>Table249[[#This Row],[Quantity Sold]]*Table249[[#This Row],[Profit Margin]]</f>
        <v>0</v>
      </c>
      <c r="I17" s="19"/>
    </row>
    <row r="18" spans="1:9" x14ac:dyDescent="0.3">
      <c r="A18" s="4"/>
      <c r="B18" s="1">
        <v>73</v>
      </c>
      <c r="C18" s="38">
        <v>125</v>
      </c>
      <c r="D18" s="2">
        <f>Table249[[#This Row],[Retail Price]]-Table249[[#This Row],[Supplier Price]]</f>
        <v>52</v>
      </c>
      <c r="E18" s="21"/>
      <c r="F18" s="26"/>
      <c r="G18" s="15"/>
      <c r="H18" s="6">
        <f>Table249[[#This Row],[Quantity Sold]]*Table249[[#This Row],[Profit Margin]]</f>
        <v>0</v>
      </c>
      <c r="I18" s="19"/>
    </row>
    <row r="19" spans="1:9" x14ac:dyDescent="0.3">
      <c r="A19" s="4"/>
      <c r="B19" s="1">
        <v>81</v>
      </c>
      <c r="C19" s="38">
        <v>145</v>
      </c>
      <c r="D19" s="2">
        <f>Table249[[#This Row],[Retail Price]]-Table249[[#This Row],[Supplier Price]]</f>
        <v>64</v>
      </c>
      <c r="E19" s="21"/>
      <c r="F19" s="26"/>
      <c r="G19" s="15"/>
      <c r="H19" s="6">
        <f>Table249[[#This Row],[Quantity Sold]]*Table249[[#This Row],[Profit Margin]]</f>
        <v>0</v>
      </c>
      <c r="I19" s="19"/>
    </row>
    <row r="20" spans="1:9" x14ac:dyDescent="0.3">
      <c r="A20" s="4"/>
      <c r="B20" s="1">
        <v>104</v>
      </c>
      <c r="C20" s="38">
        <v>160</v>
      </c>
      <c r="D20" s="2">
        <f>Table249[[#This Row],[Retail Price]]-Table249[[#This Row],[Supplier Price]]</f>
        <v>56</v>
      </c>
      <c r="E20" s="21"/>
      <c r="F20" s="26"/>
      <c r="G20" s="15"/>
      <c r="H20" s="6">
        <f>Table249[[#This Row],[Quantity Sold]]*Table249[[#This Row],[Profit Margin]]</f>
        <v>0</v>
      </c>
      <c r="I20" s="19"/>
    </row>
    <row r="21" spans="1:9" x14ac:dyDescent="0.3">
      <c r="A21" s="4"/>
      <c r="B21" s="1">
        <v>110</v>
      </c>
      <c r="C21" s="38">
        <v>175</v>
      </c>
      <c r="D21" s="2">
        <f>Table249[[#This Row],[Retail Price]]-Table249[[#This Row],[Supplier Price]]</f>
        <v>65</v>
      </c>
      <c r="E21" s="21"/>
      <c r="F21" s="26"/>
      <c r="G21" s="15"/>
      <c r="H21" s="6">
        <f>Table249[[#This Row],[Quantity Sold]]*Table249[[#This Row],[Profit Margin]]</f>
        <v>0</v>
      </c>
      <c r="I21" s="19"/>
    </row>
    <row r="22" spans="1:9" x14ac:dyDescent="0.3">
      <c r="A22" s="4"/>
      <c r="B22" s="2"/>
      <c r="C22" s="2"/>
      <c r="D22" s="2"/>
      <c r="E22" s="21"/>
      <c r="F22" s="26"/>
      <c r="G22" s="15"/>
      <c r="H22" s="15"/>
      <c r="I22" s="15"/>
    </row>
    <row r="23" spans="1:9" x14ac:dyDescent="0.3">
      <c r="A23" s="4"/>
      <c r="B23" s="2">
        <v>42</v>
      </c>
      <c r="C23" s="41">
        <v>75</v>
      </c>
      <c r="D23" s="2">
        <f>Table249[[#This Row],[Retail Price]]-Table249[[#This Row],[Supplier Price]]</f>
        <v>33</v>
      </c>
      <c r="E23" s="21"/>
      <c r="F23" s="26"/>
      <c r="G23" s="15"/>
      <c r="H23" s="6">
        <f>Table249[[#This Row],[Quantity Sold]]*Table249[[#This Row],[Profit Margin]]</f>
        <v>0</v>
      </c>
      <c r="I23" s="19"/>
    </row>
    <row r="24" spans="1:9" x14ac:dyDescent="0.3">
      <c r="A24" s="4"/>
      <c r="B24" s="2">
        <v>64</v>
      </c>
      <c r="C24" s="41">
        <v>105</v>
      </c>
      <c r="D24" s="2">
        <f>Table249[[#This Row],[Retail Price]]-Table249[[#This Row],[Supplier Price]]</f>
        <v>41</v>
      </c>
      <c r="E24" s="21"/>
      <c r="F24" s="26"/>
      <c r="G24" s="15"/>
      <c r="H24" s="6">
        <f>Table249[[#This Row],[Quantity Sold]]*Table249[[#This Row],[Profit Margin]]</f>
        <v>0</v>
      </c>
      <c r="I24" s="19"/>
    </row>
    <row r="25" spans="1:9" x14ac:dyDescent="0.3">
      <c r="A25" s="4"/>
      <c r="B25" s="2">
        <v>73</v>
      </c>
      <c r="C25" s="41">
        <v>125</v>
      </c>
      <c r="D25" s="2">
        <f>Table249[[#This Row],[Retail Price]]-Table249[[#This Row],[Supplier Price]]</f>
        <v>52</v>
      </c>
      <c r="E25" s="21"/>
      <c r="F25" s="26"/>
      <c r="G25" s="15"/>
      <c r="H25" s="6">
        <f>Table249[[#This Row],[Quantity Sold]]*Table249[[#This Row],[Profit Margin]]</f>
        <v>0</v>
      </c>
      <c r="I25" s="19"/>
    </row>
    <row r="26" spans="1:9" x14ac:dyDescent="0.3">
      <c r="A26" s="4"/>
      <c r="B26" s="2">
        <v>81</v>
      </c>
      <c r="C26" s="41">
        <v>145</v>
      </c>
      <c r="D26" s="2">
        <f>Table249[[#This Row],[Retail Price]]-Table249[[#This Row],[Supplier Price]]</f>
        <v>64</v>
      </c>
      <c r="E26" s="21"/>
      <c r="F26" s="26"/>
      <c r="G26" s="15"/>
      <c r="H26" s="6">
        <f>Table249[[#This Row],[Quantity Sold]]*Table249[[#This Row],[Profit Margin]]</f>
        <v>0</v>
      </c>
      <c r="I26" s="19"/>
    </row>
    <row r="27" spans="1:9" x14ac:dyDescent="0.3">
      <c r="A27" s="12"/>
      <c r="B27" s="13">
        <v>104</v>
      </c>
      <c r="C27" s="42">
        <v>160</v>
      </c>
      <c r="D27" s="13">
        <f>Table249[[#This Row],[Retail Price]]-Table249[[#This Row],[Supplier Price]]</f>
        <v>56</v>
      </c>
      <c r="E27" s="23"/>
      <c r="F27" s="28"/>
      <c r="G27" s="16"/>
      <c r="H27" s="14">
        <f>Table249[[#This Row],[Quantity Sold]]*Table249[[#This Row],[Profit Margin]]</f>
        <v>0</v>
      </c>
      <c r="I27" s="19"/>
    </row>
    <row r="28" spans="1:9" x14ac:dyDescent="0.3">
      <c r="A28" s="4"/>
      <c r="B28" s="13">
        <v>110</v>
      </c>
      <c r="C28" s="42">
        <v>175</v>
      </c>
      <c r="D28" s="2">
        <f>Table249[[#This Row],[Retail Price]]-Table249[[#This Row],[Supplier Price]]</f>
        <v>65</v>
      </c>
      <c r="E28" s="21"/>
      <c r="F28" s="26"/>
      <c r="G28" s="15"/>
      <c r="H28" s="6">
        <f>Table249[[#This Row],[Quantity Sold]]*Table249[[#This Row],[Profit Margin]]</f>
        <v>0</v>
      </c>
      <c r="I28" s="19"/>
    </row>
    <row r="29" spans="1:9" x14ac:dyDescent="0.3">
      <c r="A29" s="4"/>
      <c r="B29" s="2"/>
      <c r="C29" s="2"/>
      <c r="D29" s="2"/>
      <c r="E29" s="2"/>
      <c r="F29" s="2"/>
      <c r="G29" s="2"/>
      <c r="H29" s="2"/>
      <c r="I29" s="19"/>
    </row>
    <row r="30" spans="1:9" x14ac:dyDescent="0.3">
      <c r="A30" s="4"/>
      <c r="B30" s="2">
        <v>42</v>
      </c>
      <c r="C30" s="41">
        <v>75</v>
      </c>
      <c r="D30" s="2">
        <f>Table249[[#This Row],[Retail Price]]-Table249[[#This Row],[Supplier Price]]</f>
        <v>33</v>
      </c>
      <c r="E30" s="21"/>
      <c r="F30" s="26"/>
      <c r="G30" s="15"/>
      <c r="H30" s="6">
        <f>Table249[[#This Row],[Quantity Sold]]*Table249[[#This Row],[Profit Margin]]</f>
        <v>0</v>
      </c>
      <c r="I30" s="19"/>
    </row>
    <row r="31" spans="1:9" x14ac:dyDescent="0.3">
      <c r="A31" s="4"/>
      <c r="B31" s="2">
        <v>64</v>
      </c>
      <c r="C31" s="41">
        <v>105</v>
      </c>
      <c r="D31" s="2">
        <f>Table249[[#This Row],[Retail Price]]-Table249[[#This Row],[Supplier Price]]</f>
        <v>41</v>
      </c>
      <c r="E31" s="21"/>
      <c r="F31" s="26"/>
      <c r="G31" s="15"/>
      <c r="H31" s="6">
        <f>Table249[[#This Row],[Quantity Sold]]*Table249[[#This Row],[Profit Margin]]</f>
        <v>0</v>
      </c>
      <c r="I31" s="19"/>
    </row>
    <row r="32" spans="1:9" x14ac:dyDescent="0.3">
      <c r="A32" s="4"/>
      <c r="B32" s="2">
        <v>73</v>
      </c>
      <c r="C32" s="41">
        <v>125</v>
      </c>
      <c r="D32" s="2">
        <f>Table249[[#This Row],[Retail Price]]-Table249[[#This Row],[Supplier Price]]</f>
        <v>52</v>
      </c>
      <c r="E32" s="21"/>
      <c r="F32" s="26"/>
      <c r="G32" s="15"/>
      <c r="H32" s="6">
        <f>Table249[[#This Row],[Quantity Sold]]*Table249[[#This Row],[Profit Margin]]</f>
        <v>0</v>
      </c>
      <c r="I32" s="19"/>
    </row>
    <row r="33" spans="1:9" x14ac:dyDescent="0.3">
      <c r="A33" s="4"/>
      <c r="B33" s="2">
        <v>81</v>
      </c>
      <c r="C33" s="41">
        <v>145</v>
      </c>
      <c r="D33" s="2">
        <f>Table249[[#This Row],[Retail Price]]-Table249[[#This Row],[Supplier Price]]</f>
        <v>64</v>
      </c>
      <c r="E33" s="21"/>
      <c r="F33" s="26"/>
      <c r="G33" s="15"/>
      <c r="H33" s="6">
        <f>Table249[[#This Row],[Quantity Sold]]*Table249[[#This Row],[Profit Margin]]</f>
        <v>0</v>
      </c>
      <c r="I33" s="19"/>
    </row>
    <row r="34" spans="1:9" x14ac:dyDescent="0.3">
      <c r="A34" s="12"/>
      <c r="B34" s="13">
        <v>104</v>
      </c>
      <c r="C34" s="42">
        <v>160</v>
      </c>
      <c r="D34" s="13">
        <f>Table249[[#This Row],[Retail Price]]-Table249[[#This Row],[Supplier Price]]</f>
        <v>56</v>
      </c>
      <c r="E34" s="23"/>
      <c r="F34" s="28"/>
      <c r="G34" s="16"/>
      <c r="H34" s="14">
        <f>Table249[[#This Row],[Quantity Sold]]*Table249[[#This Row],[Profit Margin]]</f>
        <v>0</v>
      </c>
      <c r="I34" s="19"/>
    </row>
    <row r="35" spans="1:9" x14ac:dyDescent="0.3">
      <c r="A35" s="4"/>
      <c r="B35" s="13">
        <v>110</v>
      </c>
      <c r="C35" s="42">
        <v>175</v>
      </c>
      <c r="D35" s="2">
        <f>Table249[[#This Row],[Retail Price]]-Table249[[#This Row],[Supplier Price]]</f>
        <v>65</v>
      </c>
      <c r="E35" s="21"/>
      <c r="F35" s="26"/>
      <c r="G35" s="15"/>
      <c r="H35" s="6">
        <f>Table249[[#This Row],[Quantity Sold]]*Table249[[#This Row],[Profit Margin]]</f>
        <v>0</v>
      </c>
      <c r="I35" s="1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3F78-7C75-4E6C-9D5B-584939855E41}">
  <dimension ref="A1:I16"/>
  <sheetViews>
    <sheetView zoomScaleNormal="100" workbookViewId="0">
      <selection activeCell="D15" sqref="D15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9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9" x14ac:dyDescent="0.3">
      <c r="A2" s="4"/>
      <c r="B2" s="2">
        <v>0</v>
      </c>
      <c r="C2" s="2">
        <v>0</v>
      </c>
      <c r="D2" s="2">
        <f>Table245[[#This Row],[Retail Price]]-Table245[[#This Row],[Supplier Price]]</f>
        <v>0</v>
      </c>
      <c r="E2" s="21"/>
      <c r="F2" s="26"/>
      <c r="G2" s="15">
        <v>0</v>
      </c>
      <c r="H2" s="6">
        <f>Table245[[#This Row],[Quantity Sold]]*Table245[[#This Row],[Profit Margin]]</f>
        <v>0</v>
      </c>
      <c r="I2" s="19">
        <f t="shared" ref="I2" si="0">SUM(H:H)</f>
        <v>0</v>
      </c>
    </row>
    <row r="3" spans="1:9" x14ac:dyDescent="0.3">
      <c r="A3" s="5"/>
      <c r="B3" s="2">
        <v>0</v>
      </c>
      <c r="C3" s="2">
        <v>0</v>
      </c>
      <c r="D3" s="3">
        <f>Table245[[#This Row],[Retail Price]]-Table245[[#This Row],[Supplier Price]]</f>
        <v>0</v>
      </c>
      <c r="E3" s="22"/>
      <c r="F3" s="27"/>
      <c r="G3" s="15">
        <v>0</v>
      </c>
      <c r="H3" s="7">
        <f>Table245[[#This Row],[Quantity Sold]]*Table245[[#This Row],[Profit Margin]]</f>
        <v>0</v>
      </c>
      <c r="I3" s="19"/>
    </row>
    <row r="4" spans="1:9" x14ac:dyDescent="0.3">
      <c r="A4" s="4"/>
      <c r="B4" s="2">
        <v>0</v>
      </c>
      <c r="C4" s="2">
        <v>0</v>
      </c>
      <c r="D4" s="2">
        <f>Table245[[#This Row],[Retail Price]]-Table245[[#This Row],[Supplier Price]]</f>
        <v>0</v>
      </c>
      <c r="E4" s="21"/>
      <c r="F4" s="26"/>
      <c r="G4" s="15">
        <v>0</v>
      </c>
      <c r="H4" s="6">
        <f>Table245[[#This Row],[Quantity Sold]]*Table245[[#This Row],[Profit Margin]]</f>
        <v>0</v>
      </c>
      <c r="I4" s="19"/>
    </row>
    <row r="5" spans="1:9" x14ac:dyDescent="0.3">
      <c r="A5" s="5"/>
      <c r="B5" s="2">
        <v>0</v>
      </c>
      <c r="C5" s="2">
        <v>0</v>
      </c>
      <c r="D5" s="3">
        <f>Table245[[#This Row],[Retail Price]]-Table245[[#This Row],[Supplier Price]]</f>
        <v>0</v>
      </c>
      <c r="E5" s="22"/>
      <c r="F5" s="27"/>
      <c r="G5" s="15">
        <v>0</v>
      </c>
      <c r="H5" s="7">
        <f>Table245[[#This Row],[Quantity Sold]]*Table245[[#This Row],[Profit Margin]]</f>
        <v>0</v>
      </c>
      <c r="I5" s="19"/>
    </row>
    <row r="6" spans="1:9" x14ac:dyDescent="0.3">
      <c r="A6" s="4"/>
      <c r="B6" s="2">
        <v>0</v>
      </c>
      <c r="C6" s="2">
        <v>0</v>
      </c>
      <c r="D6" s="2">
        <f>Table245[[#This Row],[Retail Price]]-Table245[[#This Row],[Supplier Price]]</f>
        <v>0</v>
      </c>
      <c r="E6" s="21"/>
      <c r="F6" s="26"/>
      <c r="G6" s="15">
        <v>0</v>
      </c>
      <c r="H6" s="6">
        <f>Table245[[#This Row],[Quantity Sold]]*Table245[[#This Row],[Profit Margin]]</f>
        <v>0</v>
      </c>
      <c r="I6" s="19"/>
    </row>
    <row r="7" spans="1:9" x14ac:dyDescent="0.3">
      <c r="A7" s="5"/>
      <c r="B7" s="2">
        <v>0</v>
      </c>
      <c r="C7" s="2">
        <v>0</v>
      </c>
      <c r="D7" s="3">
        <f>Table245[[#This Row],[Retail Price]]-Table245[[#This Row],[Supplier Price]]</f>
        <v>0</v>
      </c>
      <c r="E7" s="22"/>
      <c r="F7" s="27"/>
      <c r="G7" s="15">
        <v>0</v>
      </c>
      <c r="H7" s="7">
        <f>Table245[[#This Row],[Quantity Sold]]*Table245[[#This Row],[Profit Margin]]</f>
        <v>0</v>
      </c>
      <c r="I7" s="19"/>
    </row>
    <row r="8" spans="1:9" x14ac:dyDescent="0.3">
      <c r="A8" s="4"/>
      <c r="B8" s="2">
        <v>0</v>
      </c>
      <c r="C8" s="2">
        <v>0</v>
      </c>
      <c r="D8" s="2">
        <f>Table245[[#This Row],[Retail Price]]-Table245[[#This Row],[Supplier Price]]</f>
        <v>0</v>
      </c>
      <c r="E8" s="21"/>
      <c r="F8" s="26"/>
      <c r="G8" s="15">
        <v>0</v>
      </c>
      <c r="H8" s="6">
        <f>Table245[[#This Row],[Quantity Sold]]*Table245[[#This Row],[Profit Margin]]</f>
        <v>0</v>
      </c>
      <c r="I8" s="19"/>
    </row>
    <row r="9" spans="1:9" x14ac:dyDescent="0.3">
      <c r="A9" s="5"/>
      <c r="B9" s="2">
        <v>0</v>
      </c>
      <c r="C9" s="2">
        <v>0</v>
      </c>
      <c r="D9" s="3">
        <f>Table245[[#This Row],[Retail Price]]-Table245[[#This Row],[Supplier Price]]</f>
        <v>0</v>
      </c>
      <c r="E9" s="22"/>
      <c r="F9" s="27"/>
      <c r="G9" s="15">
        <v>0</v>
      </c>
      <c r="H9" s="7">
        <f>Table245[[#This Row],[Quantity Sold]]*Table245[[#This Row],[Profit Margin]]</f>
        <v>0</v>
      </c>
      <c r="I9" s="19"/>
    </row>
    <row r="10" spans="1:9" x14ac:dyDescent="0.3">
      <c r="A10" s="4"/>
      <c r="B10" s="2">
        <v>0</v>
      </c>
      <c r="C10" s="2">
        <v>0</v>
      </c>
      <c r="D10" s="2">
        <f>Table245[[#This Row],[Retail Price]]-Table245[[#This Row],[Supplier Price]]</f>
        <v>0</v>
      </c>
      <c r="E10" s="21"/>
      <c r="F10" s="26"/>
      <c r="G10" s="15">
        <v>0</v>
      </c>
      <c r="H10" s="6">
        <f>Table245[[#This Row],[Quantity Sold]]*Table245[[#This Row],[Profit Margin]]</f>
        <v>0</v>
      </c>
      <c r="I10" s="19"/>
    </row>
    <row r="11" spans="1:9" x14ac:dyDescent="0.3">
      <c r="A11" s="5"/>
      <c r="B11" s="2">
        <v>0</v>
      </c>
      <c r="C11" s="2">
        <v>0</v>
      </c>
      <c r="D11" s="3">
        <f>Table245[[#This Row],[Retail Price]]-Table245[[#This Row],[Supplier Price]]</f>
        <v>0</v>
      </c>
      <c r="E11" s="22"/>
      <c r="F11" s="27"/>
      <c r="G11" s="15">
        <v>0</v>
      </c>
      <c r="H11" s="7">
        <f>Table245[[#This Row],[Quantity Sold]]*Table245[[#This Row],[Profit Margin]]</f>
        <v>0</v>
      </c>
      <c r="I11" s="19"/>
    </row>
    <row r="12" spans="1:9" x14ac:dyDescent="0.3">
      <c r="A12" s="4"/>
      <c r="B12" s="2">
        <v>0</v>
      </c>
      <c r="C12" s="2">
        <v>0</v>
      </c>
      <c r="D12" s="2">
        <f>Table245[[#This Row],[Retail Price]]-Table245[[#This Row],[Supplier Price]]</f>
        <v>0</v>
      </c>
      <c r="E12" s="21"/>
      <c r="F12" s="26"/>
      <c r="G12" s="15">
        <v>0</v>
      </c>
      <c r="H12" s="6">
        <f>Table245[[#This Row],[Quantity Sold]]*Table245[[#This Row],[Profit Margin]]</f>
        <v>0</v>
      </c>
      <c r="I12" s="19"/>
    </row>
    <row r="13" spans="1:9" x14ac:dyDescent="0.3">
      <c r="A13" s="5"/>
      <c r="B13" s="2">
        <v>0</v>
      </c>
      <c r="C13" s="2">
        <v>0</v>
      </c>
      <c r="D13" s="3">
        <f>Table245[[#This Row],[Retail Price]]-Table245[[#This Row],[Supplier Price]]</f>
        <v>0</v>
      </c>
      <c r="E13" s="22"/>
      <c r="F13" s="27"/>
      <c r="G13" s="15">
        <v>0</v>
      </c>
      <c r="H13" s="7">
        <f>Table245[[#This Row],[Quantity Sold]]*Table245[[#This Row],[Profit Margin]]</f>
        <v>0</v>
      </c>
      <c r="I13" s="19"/>
    </row>
    <row r="14" spans="1:9" x14ac:dyDescent="0.3">
      <c r="A14" s="4"/>
      <c r="B14" s="2">
        <v>0</v>
      </c>
      <c r="C14" s="2">
        <v>0</v>
      </c>
      <c r="D14" s="2">
        <f>Table245[[#This Row],[Retail Price]]-Table245[[#This Row],[Supplier Price]]</f>
        <v>0</v>
      </c>
      <c r="E14" s="21"/>
      <c r="F14" s="26"/>
      <c r="G14" s="15">
        <v>0</v>
      </c>
      <c r="H14" s="6">
        <f>Table245[[#This Row],[Quantity Sold]]*Table245[[#This Row],[Profit Margin]]</f>
        <v>0</v>
      </c>
      <c r="I14" s="19"/>
    </row>
    <row r="15" spans="1:9" x14ac:dyDescent="0.3">
      <c r="A15" s="5"/>
      <c r="B15" s="2">
        <v>0</v>
      </c>
      <c r="C15" s="2">
        <v>0</v>
      </c>
      <c r="D15" s="3">
        <f>Table245[[#This Row],[Retail Price]]-Table245[[#This Row],[Supplier Price]]</f>
        <v>0</v>
      </c>
      <c r="E15" s="22"/>
      <c r="F15" s="27"/>
      <c r="G15" s="15">
        <v>0</v>
      </c>
      <c r="H15" s="7">
        <f>Table245[[#This Row],[Quantity Sold]]*Table245[[#This Row],[Profit Margin]]</f>
        <v>0</v>
      </c>
      <c r="I15" s="19"/>
    </row>
    <row r="16" spans="1:9" x14ac:dyDescent="0.3">
      <c r="A16" s="12"/>
      <c r="B16" s="2">
        <v>0</v>
      </c>
      <c r="C16" s="2">
        <v>0</v>
      </c>
      <c r="D16" s="13">
        <f>Table245[[#This Row],[Retail Price]]-Table245[[#This Row],[Supplier Price]]</f>
        <v>0</v>
      </c>
      <c r="E16" s="23"/>
      <c r="F16" s="28"/>
      <c r="G16" s="15">
        <v>0</v>
      </c>
      <c r="H16" s="14">
        <f>Table245[[#This Row],[Quantity Sold]]*Table245[[#This Row],[Profit Margin]]</f>
        <v>0</v>
      </c>
      <c r="I16" s="1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9A49-6422-42CB-8DB5-856ABE717C27}">
  <dimension ref="A1:K16"/>
  <sheetViews>
    <sheetView zoomScaleNormal="100" workbookViewId="0">
      <selection activeCell="C20" sqref="C20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11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  <c r="J1" s="31" t="s">
        <v>51</v>
      </c>
      <c r="K1" s="31" t="s">
        <v>49</v>
      </c>
    </row>
    <row r="2" spans="1:11" x14ac:dyDescent="0.3">
      <c r="A2" s="29" t="s">
        <v>95</v>
      </c>
      <c r="B2" s="4"/>
      <c r="C2" s="4"/>
      <c r="D2" s="4"/>
      <c r="E2" s="4"/>
      <c r="F2" s="4"/>
      <c r="G2" s="4"/>
      <c r="H2" s="4"/>
      <c r="I2" s="4"/>
    </row>
    <row r="3" spans="1:11" x14ac:dyDescent="0.3">
      <c r="A3" s="5" t="s">
        <v>96</v>
      </c>
      <c r="B3" s="2">
        <v>110</v>
      </c>
      <c r="C3" s="2">
        <v>175</v>
      </c>
      <c r="D3" s="3">
        <f>Table245678[[#This Row],[Retail Price]]-Table245678[[#This Row],[Supplier Price]]</f>
        <v>65</v>
      </c>
      <c r="E3" s="22"/>
      <c r="F3" s="27"/>
      <c r="G3" s="15">
        <v>0</v>
      </c>
      <c r="H3" s="7">
        <f>Table245678[[#This Row],[Quantity Sold]]*Table245678[[#This Row],[Profit Margin]]</f>
        <v>0</v>
      </c>
      <c r="I3" s="19"/>
      <c r="J3">
        <v>0.25</v>
      </c>
      <c r="K3" s="1">
        <f>J3*Table245678[[#This Row],[Profit Margin]]</f>
        <v>16.25</v>
      </c>
    </row>
    <row r="4" spans="1:11" x14ac:dyDescent="0.3">
      <c r="A4" s="4" t="s">
        <v>97</v>
      </c>
      <c r="B4" s="2">
        <v>110</v>
      </c>
      <c r="C4" s="2">
        <v>175</v>
      </c>
      <c r="D4" s="2">
        <f>Table245678[[#This Row],[Retail Price]]-Table245678[[#This Row],[Supplier Price]]</f>
        <v>65</v>
      </c>
      <c r="E4" s="21"/>
      <c r="F4" s="26"/>
      <c r="G4" s="15">
        <v>0</v>
      </c>
      <c r="H4" s="6">
        <f>Table245678[[#This Row],[Quantity Sold]]*Table245678[[#This Row],[Profit Margin]]</f>
        <v>0</v>
      </c>
      <c r="I4" s="19"/>
      <c r="J4">
        <v>0.25</v>
      </c>
      <c r="K4" s="1">
        <f>J4*Table245678[[#This Row],[Profit Margin]]</f>
        <v>16.25</v>
      </c>
    </row>
    <row r="5" spans="1:11" x14ac:dyDescent="0.3">
      <c r="A5" s="5" t="s">
        <v>98</v>
      </c>
      <c r="B5" s="2">
        <v>110</v>
      </c>
      <c r="C5" s="2">
        <v>175</v>
      </c>
      <c r="D5" s="3">
        <f>Table245678[[#This Row],[Retail Price]]-Table245678[[#This Row],[Supplier Price]]</f>
        <v>65</v>
      </c>
      <c r="E5" s="22"/>
      <c r="F5" s="27"/>
      <c r="G5" s="15">
        <v>0</v>
      </c>
      <c r="H5" s="7">
        <f>Table245678[[#This Row],[Quantity Sold]]*Table245678[[#This Row],[Profit Margin]]</f>
        <v>0</v>
      </c>
      <c r="I5" s="19"/>
      <c r="J5">
        <v>0.25</v>
      </c>
      <c r="K5" s="1">
        <f>J5*Table245678[[#This Row],[Profit Margin]]</f>
        <v>16.25</v>
      </c>
    </row>
    <row r="6" spans="1:11" x14ac:dyDescent="0.3">
      <c r="A6" s="4" t="s">
        <v>99</v>
      </c>
      <c r="B6" s="2">
        <v>110</v>
      </c>
      <c r="C6" s="2">
        <v>175</v>
      </c>
      <c r="D6" s="2">
        <f>Table245678[[#This Row],[Retail Price]]-Table245678[[#This Row],[Supplier Price]]</f>
        <v>65</v>
      </c>
      <c r="E6" s="21"/>
      <c r="F6" s="26"/>
      <c r="G6" s="15">
        <v>0</v>
      </c>
      <c r="H6" s="6">
        <f>Table245678[[#This Row],[Quantity Sold]]*Table245678[[#This Row],[Profit Margin]]</f>
        <v>0</v>
      </c>
      <c r="I6" s="19"/>
      <c r="J6">
        <v>0.25</v>
      </c>
      <c r="K6" s="1">
        <f>J6*Table245678[[#This Row],[Profit Margin]]</f>
        <v>16.25</v>
      </c>
    </row>
    <row r="7" spans="1:11" x14ac:dyDescent="0.3">
      <c r="A7" s="5" t="s">
        <v>100</v>
      </c>
      <c r="B7" s="2">
        <v>110</v>
      </c>
      <c r="C7" s="2">
        <v>175</v>
      </c>
      <c r="D7" s="3">
        <f>Table245678[[#This Row],[Retail Price]]-Table245678[[#This Row],[Supplier Price]]</f>
        <v>65</v>
      </c>
      <c r="E7" s="22"/>
      <c r="F7" s="27"/>
      <c r="G7" s="15">
        <v>0</v>
      </c>
      <c r="H7" s="7">
        <f>Table245678[[#This Row],[Quantity Sold]]*Table245678[[#This Row],[Profit Margin]]</f>
        <v>0</v>
      </c>
      <c r="I7" s="19"/>
      <c r="J7">
        <v>0.25</v>
      </c>
      <c r="K7" s="1">
        <f>J7*Table245678[[#This Row],[Profit Margin]]</f>
        <v>16.25</v>
      </c>
    </row>
    <row r="8" spans="1:11" x14ac:dyDescent="0.3">
      <c r="A8" s="4" t="s">
        <v>101</v>
      </c>
      <c r="B8" s="2">
        <v>110</v>
      </c>
      <c r="C8" s="2">
        <v>175</v>
      </c>
      <c r="D8" s="2">
        <f>Table245678[[#This Row],[Retail Price]]-Table245678[[#This Row],[Supplier Price]]</f>
        <v>65</v>
      </c>
      <c r="E8" s="21"/>
      <c r="F8" s="26"/>
      <c r="G8" s="15">
        <v>0</v>
      </c>
      <c r="H8" s="6">
        <f>Table245678[[#This Row],[Quantity Sold]]*Table245678[[#This Row],[Profit Margin]]</f>
        <v>0</v>
      </c>
      <c r="I8" s="19"/>
      <c r="J8">
        <v>0.25</v>
      </c>
      <c r="K8" s="1">
        <f>J8*Table245678[[#This Row],[Profit Margin]]</f>
        <v>16.25</v>
      </c>
    </row>
    <row r="9" spans="1:11" x14ac:dyDescent="0.3">
      <c r="A9" s="5" t="s">
        <v>102</v>
      </c>
      <c r="B9" s="2">
        <v>110</v>
      </c>
      <c r="C9" s="2">
        <v>175</v>
      </c>
      <c r="D9" s="3">
        <f>Table245678[[#This Row],[Retail Price]]-Table245678[[#This Row],[Supplier Price]]</f>
        <v>65</v>
      </c>
      <c r="E9" s="22"/>
      <c r="F9" s="27"/>
      <c r="G9" s="15">
        <v>0</v>
      </c>
      <c r="H9" s="7">
        <f>Table245678[[#This Row],[Quantity Sold]]*Table245678[[#This Row],[Profit Margin]]</f>
        <v>0</v>
      </c>
      <c r="I9" s="19"/>
      <c r="J9">
        <v>0.25</v>
      </c>
      <c r="K9" s="1">
        <f>J9*Table245678[[#This Row],[Profit Margin]]</f>
        <v>16.25</v>
      </c>
    </row>
    <row r="10" spans="1:11" x14ac:dyDescent="0.3">
      <c r="A10" s="4" t="s">
        <v>103</v>
      </c>
      <c r="B10" s="2">
        <v>110</v>
      </c>
      <c r="C10" s="2">
        <v>175</v>
      </c>
      <c r="D10" s="2">
        <f>Table245678[[#This Row],[Retail Price]]-Table245678[[#This Row],[Supplier Price]]</f>
        <v>65</v>
      </c>
      <c r="E10" s="21"/>
      <c r="F10" s="26"/>
      <c r="G10" s="15">
        <v>0</v>
      </c>
      <c r="H10" s="6">
        <f>Table245678[[#This Row],[Quantity Sold]]*Table245678[[#This Row],[Profit Margin]]</f>
        <v>0</v>
      </c>
      <c r="I10" s="19"/>
      <c r="J10">
        <v>0.25</v>
      </c>
      <c r="K10" s="1">
        <f>J10*Table245678[[#This Row],[Profit Margin]]</f>
        <v>16.25</v>
      </c>
    </row>
    <row r="11" spans="1:11" x14ac:dyDescent="0.3">
      <c r="A11" s="5" t="s">
        <v>104</v>
      </c>
      <c r="B11" s="2">
        <v>700</v>
      </c>
      <c r="C11" s="2">
        <v>1000</v>
      </c>
      <c r="D11" s="3">
        <f>Table245678[[#This Row],[Retail Price]]-Table245678[[#This Row],[Supplier Price]]</f>
        <v>300</v>
      </c>
      <c r="E11" s="22"/>
      <c r="F11" s="27"/>
      <c r="G11" s="15">
        <v>0</v>
      </c>
      <c r="H11" s="7">
        <f>Table245678[[#This Row],[Quantity Sold]]*Table245678[[#This Row],[Profit Margin]]</f>
        <v>0</v>
      </c>
      <c r="I11" s="19"/>
      <c r="J11">
        <v>0.25</v>
      </c>
      <c r="K11" s="1">
        <f>J11*Table245678[[#This Row],[Profit Margin]]</f>
        <v>75</v>
      </c>
    </row>
    <row r="12" spans="1:1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11" x14ac:dyDescent="0.3">
      <c r="A13" s="43" t="s">
        <v>105</v>
      </c>
      <c r="B13" s="2"/>
      <c r="C13" s="2"/>
      <c r="D13" s="2"/>
      <c r="E13" s="2"/>
      <c r="F13" s="2"/>
      <c r="G13" s="2"/>
      <c r="H13" s="2"/>
      <c r="I13" s="2"/>
      <c r="J13">
        <v>0.25</v>
      </c>
    </row>
    <row r="14" spans="1:11" x14ac:dyDescent="0.3">
      <c r="A14" s="4"/>
      <c r="B14" s="2">
        <v>0</v>
      </c>
      <c r="C14" s="2">
        <v>0</v>
      </c>
      <c r="D14" s="2">
        <f>Table245678[[#This Row],[Retail Price]]-Table245678[[#This Row],[Supplier Price]]</f>
        <v>0</v>
      </c>
      <c r="E14" s="21"/>
      <c r="F14" s="26"/>
      <c r="G14" s="15">
        <v>0</v>
      </c>
      <c r="H14" s="6">
        <f>Table245678[[#This Row],[Quantity Sold]]*Table245678[[#This Row],[Profit Margin]]</f>
        <v>0</v>
      </c>
      <c r="I14" s="19"/>
      <c r="J14">
        <v>0.25</v>
      </c>
    </row>
    <row r="15" spans="1:11" x14ac:dyDescent="0.3">
      <c r="A15" s="5"/>
      <c r="B15" s="2">
        <v>0</v>
      </c>
      <c r="C15" s="2">
        <v>0</v>
      </c>
      <c r="D15" s="3">
        <f>Table245678[[#This Row],[Retail Price]]-Table245678[[#This Row],[Supplier Price]]</f>
        <v>0</v>
      </c>
      <c r="E15" s="22"/>
      <c r="F15" s="27"/>
      <c r="G15" s="15">
        <v>0</v>
      </c>
      <c r="H15" s="7">
        <f>Table245678[[#This Row],[Quantity Sold]]*Table245678[[#This Row],[Profit Margin]]</f>
        <v>0</v>
      </c>
      <c r="I15" s="19"/>
      <c r="J15">
        <v>0.25</v>
      </c>
    </row>
    <row r="16" spans="1:11" x14ac:dyDescent="0.3">
      <c r="A16" s="12"/>
      <c r="B16" s="2">
        <v>0</v>
      </c>
      <c r="C16" s="2">
        <v>0</v>
      </c>
      <c r="D16" s="13">
        <f>Table245678[[#This Row],[Retail Price]]-Table245678[[#This Row],[Supplier Price]]</f>
        <v>0</v>
      </c>
      <c r="E16" s="23"/>
      <c r="F16" s="28"/>
      <c r="G16" s="15">
        <v>0</v>
      </c>
      <c r="H16" s="14">
        <f>Table245678[[#This Row],[Quantity Sold]]*Table245678[[#This Row],[Profit Margin]]</f>
        <v>0</v>
      </c>
      <c r="I16" s="19"/>
      <c r="J16">
        <v>0.25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1FD3-B74D-4DBB-97EF-4E470A765F44}">
  <dimension ref="A1:K34"/>
  <sheetViews>
    <sheetView zoomScaleNormal="100" workbookViewId="0">
      <selection activeCell="K30" sqref="K30"/>
    </sheetView>
  </sheetViews>
  <sheetFormatPr defaultRowHeight="14.4" x14ac:dyDescent="0.3"/>
  <cols>
    <col min="1" max="1" width="24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11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11" x14ac:dyDescent="0.3">
      <c r="A2" s="29" t="s">
        <v>9</v>
      </c>
      <c r="B2" s="29"/>
      <c r="C2" s="29"/>
      <c r="D2" s="29"/>
      <c r="E2" s="29"/>
      <c r="F2" s="29"/>
      <c r="G2" s="29"/>
      <c r="H2" s="29"/>
      <c r="I2" s="19">
        <f>SUM(H:H)</f>
        <v>0</v>
      </c>
      <c r="K2" t="s">
        <v>10</v>
      </c>
    </row>
    <row r="3" spans="1:11" x14ac:dyDescent="0.3">
      <c r="A3" t="s">
        <v>30</v>
      </c>
      <c r="B3" s="1">
        <v>42</v>
      </c>
      <c r="C3" s="38">
        <v>75</v>
      </c>
      <c r="D3" s="2">
        <f>Table2410[[#This Row],[Retail Price]]-Table2410[[#This Row],[Supplier Price]]</f>
        <v>33</v>
      </c>
      <c r="E3" s="22"/>
      <c r="F3" s="27"/>
      <c r="G3" s="15">
        <v>0</v>
      </c>
      <c r="H3" s="7">
        <f>Table2410[[#This Row],[Quantity Sold]]*Table2410[[#This Row],[Profit Margin]]</f>
        <v>0</v>
      </c>
      <c r="I3" s="19"/>
      <c r="K3" t="s">
        <v>18</v>
      </c>
    </row>
    <row r="4" spans="1:11" x14ac:dyDescent="0.3">
      <c r="A4" t="s">
        <v>31</v>
      </c>
      <c r="B4" s="1">
        <v>64</v>
      </c>
      <c r="C4" s="38">
        <v>105</v>
      </c>
      <c r="D4" s="2">
        <f>Table2410[[#This Row],[Retail Price]]-Table2410[[#This Row],[Supplier Price]]</f>
        <v>41</v>
      </c>
      <c r="E4" s="21"/>
      <c r="F4" s="26"/>
      <c r="G4" s="15">
        <v>0</v>
      </c>
      <c r="H4" s="6">
        <f>Table2410[[#This Row],[Quantity Sold]]*Table2410[[#This Row],[Profit Margin]]</f>
        <v>0</v>
      </c>
      <c r="I4" s="19"/>
      <c r="K4" t="s">
        <v>19</v>
      </c>
    </row>
    <row r="5" spans="1:11" x14ac:dyDescent="0.3">
      <c r="A5" t="s">
        <v>32</v>
      </c>
      <c r="B5" s="1">
        <v>73</v>
      </c>
      <c r="C5" s="38">
        <v>125</v>
      </c>
      <c r="D5" s="2">
        <f>Table2410[[#This Row],[Retail Price]]-Table2410[[#This Row],[Supplier Price]]</f>
        <v>52</v>
      </c>
      <c r="E5" s="22"/>
      <c r="F5" s="27"/>
      <c r="G5" s="15">
        <v>0</v>
      </c>
      <c r="H5" s="7">
        <f>Table2410[[#This Row],[Quantity Sold]]*Table2410[[#This Row],[Profit Margin]]</f>
        <v>0</v>
      </c>
      <c r="I5" s="19"/>
      <c r="K5" t="s">
        <v>20</v>
      </c>
    </row>
    <row r="6" spans="1:11" x14ac:dyDescent="0.3">
      <c r="A6" t="s">
        <v>33</v>
      </c>
      <c r="B6" s="1">
        <v>81</v>
      </c>
      <c r="C6" s="38">
        <v>145</v>
      </c>
      <c r="D6" s="2">
        <f>Table2410[[#This Row],[Retail Price]]-Table2410[[#This Row],[Supplier Price]]</f>
        <v>64</v>
      </c>
      <c r="E6" s="21"/>
      <c r="F6" s="26"/>
      <c r="G6" s="15">
        <v>0</v>
      </c>
      <c r="H6" s="6">
        <f>Table2410[[#This Row],[Quantity Sold]]*Table2410[[#This Row],[Profit Margin]]</f>
        <v>0</v>
      </c>
      <c r="I6" s="19"/>
      <c r="K6" t="s">
        <v>23</v>
      </c>
    </row>
    <row r="7" spans="1:11" x14ac:dyDescent="0.3">
      <c r="A7" t="s">
        <v>34</v>
      </c>
      <c r="B7" s="1">
        <v>104</v>
      </c>
      <c r="C7" s="38">
        <v>160</v>
      </c>
      <c r="D7" s="2">
        <f>Table2410[[#This Row],[Retail Price]]-Table2410[[#This Row],[Supplier Price]]</f>
        <v>56</v>
      </c>
      <c r="E7" s="22"/>
      <c r="F7" s="27"/>
      <c r="G7" s="15">
        <v>0</v>
      </c>
      <c r="H7" s="7">
        <f>Table2410[[#This Row],[Quantity Sold]]*Table2410[[#This Row],[Profit Margin]]</f>
        <v>0</v>
      </c>
      <c r="I7" s="19"/>
      <c r="K7" t="s">
        <v>22</v>
      </c>
    </row>
    <row r="8" spans="1:11" x14ac:dyDescent="0.3">
      <c r="A8" t="s">
        <v>35</v>
      </c>
      <c r="B8" s="1">
        <v>110</v>
      </c>
      <c r="C8" s="38">
        <v>175</v>
      </c>
      <c r="D8" s="2">
        <f>Table2410[[#This Row],[Retail Price]]-Table2410[[#This Row],[Supplier Price]]</f>
        <v>65</v>
      </c>
      <c r="E8" s="21"/>
      <c r="F8" s="26"/>
      <c r="G8" s="15">
        <v>0</v>
      </c>
      <c r="H8" s="6">
        <f>Table2410[[#This Row],[Quantity Sold]]*Table2410[[#This Row],[Profit Margin]]</f>
        <v>0</v>
      </c>
      <c r="I8" s="19"/>
    </row>
    <row r="9" spans="1:11" x14ac:dyDescent="0.3">
      <c r="A9" s="5"/>
      <c r="B9" s="5"/>
      <c r="C9" s="5"/>
      <c r="D9" s="5"/>
      <c r="E9" s="5"/>
      <c r="F9" s="5"/>
      <c r="G9" s="5"/>
      <c r="H9" s="5"/>
      <c r="I9" s="19"/>
    </row>
    <row r="10" spans="1:11" x14ac:dyDescent="0.3">
      <c r="A10" t="s">
        <v>24</v>
      </c>
      <c r="B10" s="1">
        <v>42</v>
      </c>
      <c r="C10" s="38">
        <v>75</v>
      </c>
      <c r="D10" s="2">
        <f>Table2410[[#This Row],[Retail Price]]-Table2410[[#This Row],[Supplier Price]]</f>
        <v>33</v>
      </c>
      <c r="E10" s="21"/>
      <c r="F10" s="26"/>
      <c r="G10" s="15">
        <v>0</v>
      </c>
      <c r="H10" s="6">
        <f>Table2410[[#This Row],[Quantity Sold]]*Table2410[[#This Row],[Profit Margin]]</f>
        <v>0</v>
      </c>
      <c r="I10" s="19"/>
    </row>
    <row r="11" spans="1:11" x14ac:dyDescent="0.3">
      <c r="A11" t="s">
        <v>25</v>
      </c>
      <c r="B11" s="1">
        <v>64</v>
      </c>
      <c r="C11" s="38">
        <v>105</v>
      </c>
      <c r="D11" s="3">
        <f>Table2410[[#This Row],[Retail Price]]-Table2410[[#This Row],[Supplier Price]]</f>
        <v>41</v>
      </c>
      <c r="E11" s="22"/>
      <c r="F11" s="27"/>
      <c r="G11" s="15">
        <v>0</v>
      </c>
      <c r="H11" s="7">
        <f>Table2410[[#This Row],[Quantity Sold]]*Table2410[[#This Row],[Profit Margin]]</f>
        <v>0</v>
      </c>
      <c r="I11" s="19"/>
    </row>
    <row r="12" spans="1:11" x14ac:dyDescent="0.3">
      <c r="A12" t="s">
        <v>26</v>
      </c>
      <c r="B12" s="1">
        <v>73</v>
      </c>
      <c r="C12" s="38">
        <v>125</v>
      </c>
      <c r="D12" s="2">
        <f>Table2410[[#This Row],[Retail Price]]-Table2410[[#This Row],[Supplier Price]]</f>
        <v>52</v>
      </c>
      <c r="E12" s="21"/>
      <c r="F12" s="26"/>
      <c r="G12" s="15">
        <v>0</v>
      </c>
      <c r="H12" s="6">
        <f>Table2410[[#This Row],[Quantity Sold]]*Table2410[[#This Row],[Profit Margin]]</f>
        <v>0</v>
      </c>
      <c r="I12" s="19"/>
    </row>
    <row r="13" spans="1:11" x14ac:dyDescent="0.3">
      <c r="A13" t="s">
        <v>27</v>
      </c>
      <c r="B13" s="1">
        <v>81</v>
      </c>
      <c r="C13" s="38">
        <v>145</v>
      </c>
      <c r="D13" s="3">
        <f>Table2410[[#This Row],[Retail Price]]-Table2410[[#This Row],[Supplier Price]]</f>
        <v>64</v>
      </c>
      <c r="E13" s="22"/>
      <c r="F13" s="27"/>
      <c r="G13" s="15">
        <v>0</v>
      </c>
      <c r="H13" s="7">
        <f>Table2410[[#This Row],[Quantity Sold]]*Table2410[[#This Row],[Profit Margin]]</f>
        <v>0</v>
      </c>
      <c r="I13" s="19"/>
    </row>
    <row r="14" spans="1:11" x14ac:dyDescent="0.3">
      <c r="A14" t="s">
        <v>28</v>
      </c>
      <c r="B14" s="1">
        <v>104</v>
      </c>
      <c r="C14" s="38">
        <v>160</v>
      </c>
      <c r="D14" s="2">
        <f>Table2410[[#This Row],[Retail Price]]-Table2410[[#This Row],[Supplier Price]]</f>
        <v>56</v>
      </c>
      <c r="E14" s="21"/>
      <c r="F14" s="26"/>
      <c r="G14" s="15">
        <v>0</v>
      </c>
      <c r="H14" s="6">
        <f>Table2410[[#This Row],[Quantity Sold]]*Table2410[[#This Row],[Profit Margin]]</f>
        <v>0</v>
      </c>
      <c r="I14" s="19"/>
    </row>
    <row r="15" spans="1:11" x14ac:dyDescent="0.3">
      <c r="A15" t="s">
        <v>29</v>
      </c>
      <c r="B15" s="1">
        <v>110</v>
      </c>
      <c r="C15" s="38">
        <v>175</v>
      </c>
      <c r="D15" s="3">
        <f>Table2410[[#This Row],[Retail Price]]-Table2410[[#This Row],[Supplier Price]]</f>
        <v>65</v>
      </c>
      <c r="E15" s="22"/>
      <c r="F15" s="27"/>
      <c r="G15" s="15">
        <v>0</v>
      </c>
      <c r="H15" s="7">
        <f>Table2410[[#This Row],[Quantity Sold]]*Table2410[[#This Row],[Profit Margin]]</f>
        <v>0</v>
      </c>
      <c r="I15" s="19"/>
    </row>
    <row r="16" spans="1:11" x14ac:dyDescent="0.3">
      <c r="A16" s="22"/>
      <c r="B16" s="4"/>
      <c r="C16" s="4"/>
      <c r="D16" s="4"/>
      <c r="E16" s="4"/>
      <c r="F16" s="4"/>
      <c r="G16" s="4"/>
      <c r="H16" s="4"/>
      <c r="I16" s="19"/>
    </row>
    <row r="17" spans="1:9" x14ac:dyDescent="0.3">
      <c r="A17" s="4" t="s">
        <v>52</v>
      </c>
      <c r="B17" s="1">
        <v>42</v>
      </c>
      <c r="C17" s="38">
        <v>75</v>
      </c>
      <c r="D17" s="2">
        <f>Table2410[[#This Row],[Retail Price]]-Table2410[[#This Row],[Supplier Price]]</f>
        <v>33</v>
      </c>
      <c r="E17" s="21"/>
      <c r="F17" s="26"/>
      <c r="G17" s="15">
        <v>0</v>
      </c>
      <c r="H17" s="6">
        <f>Table2410[[#This Row],[Quantity Sold]]*Table2410[[#This Row],[Profit Margin]]</f>
        <v>0</v>
      </c>
      <c r="I17" s="19"/>
    </row>
    <row r="18" spans="1:9" x14ac:dyDescent="0.3">
      <c r="A18" s="4" t="s">
        <v>53</v>
      </c>
      <c r="B18" s="1">
        <v>64</v>
      </c>
      <c r="C18" s="38">
        <v>105</v>
      </c>
      <c r="D18" s="2">
        <f>Table2410[[#This Row],[Retail Price]]-Table2410[[#This Row],[Supplier Price]]</f>
        <v>41</v>
      </c>
      <c r="E18" s="21"/>
      <c r="F18" s="26"/>
      <c r="G18" s="15">
        <v>0</v>
      </c>
      <c r="H18" s="6">
        <f>Table2410[[#This Row],[Quantity Sold]]*Table2410[[#This Row],[Profit Margin]]</f>
        <v>0</v>
      </c>
      <c r="I18" s="19"/>
    </row>
    <row r="19" spans="1:9" x14ac:dyDescent="0.3">
      <c r="A19" s="4" t="s">
        <v>54</v>
      </c>
      <c r="B19" s="1">
        <v>73</v>
      </c>
      <c r="C19" s="38">
        <v>125</v>
      </c>
      <c r="D19" s="2">
        <f>Table2410[[#This Row],[Retail Price]]-Table2410[[#This Row],[Supplier Price]]</f>
        <v>52</v>
      </c>
      <c r="E19" s="21"/>
      <c r="F19" s="26"/>
      <c r="G19" s="15">
        <v>0</v>
      </c>
      <c r="H19" s="6">
        <f>Table2410[[#This Row],[Quantity Sold]]*Table2410[[#This Row],[Profit Margin]]</f>
        <v>0</v>
      </c>
      <c r="I19" s="19"/>
    </row>
    <row r="20" spans="1:9" x14ac:dyDescent="0.3">
      <c r="A20" s="4" t="s">
        <v>55</v>
      </c>
      <c r="B20" s="1">
        <v>81</v>
      </c>
      <c r="C20" s="38">
        <v>145</v>
      </c>
      <c r="D20" s="2">
        <f>Table2410[[#This Row],[Retail Price]]-Table2410[[#This Row],[Supplier Price]]</f>
        <v>64</v>
      </c>
      <c r="E20" s="21"/>
      <c r="F20" s="26"/>
      <c r="G20" s="15">
        <v>0</v>
      </c>
      <c r="H20" s="6">
        <f>Table2410[[#This Row],[Quantity Sold]]*Table2410[[#This Row],[Profit Margin]]</f>
        <v>0</v>
      </c>
      <c r="I20" s="19"/>
    </row>
    <row r="21" spans="1:9" x14ac:dyDescent="0.3">
      <c r="A21" s="12" t="s">
        <v>56</v>
      </c>
      <c r="B21" s="1">
        <v>104</v>
      </c>
      <c r="C21" s="38">
        <v>160</v>
      </c>
      <c r="D21" s="2">
        <f>Table2410[[#This Row],[Retail Price]]-Table2410[[#This Row],[Supplier Price]]</f>
        <v>56</v>
      </c>
      <c r="E21" s="21"/>
      <c r="F21" s="26"/>
      <c r="G21" s="15">
        <v>0</v>
      </c>
      <c r="H21" s="6">
        <f>Table2410[[#This Row],[Quantity Sold]]*Table2410[[#This Row],[Profit Margin]]</f>
        <v>0</v>
      </c>
      <c r="I21" s="19"/>
    </row>
    <row r="22" spans="1:9" x14ac:dyDescent="0.3">
      <c r="A22" t="s">
        <v>57</v>
      </c>
      <c r="B22" s="1">
        <v>110</v>
      </c>
      <c r="C22" s="38">
        <v>175</v>
      </c>
      <c r="D22" s="2">
        <f>Table2410[[#This Row],[Retail Price]]-Table2410[[#This Row],[Supplier Price]]</f>
        <v>65</v>
      </c>
      <c r="E22" s="21"/>
      <c r="F22" s="26"/>
      <c r="G22" s="15">
        <v>0</v>
      </c>
      <c r="H22" s="6">
        <f>Table2410[[#This Row],[Quantity Sold]]*Table2410[[#This Row],[Profit Margin]]</f>
        <v>0</v>
      </c>
      <c r="I22" s="19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39" t="s">
        <v>58</v>
      </c>
      <c r="B24" s="40"/>
      <c r="C24" s="40"/>
      <c r="D24" s="40"/>
      <c r="E24" s="40"/>
      <c r="F24" s="40"/>
      <c r="G24" s="40"/>
      <c r="H24" s="40"/>
      <c r="I24" s="40"/>
    </row>
    <row r="25" spans="1:9" x14ac:dyDescent="0.3">
      <c r="A25" s="4"/>
      <c r="B25" s="1">
        <v>42</v>
      </c>
      <c r="C25" s="38">
        <v>75</v>
      </c>
      <c r="D25" s="2">
        <f>Table2410[[#This Row],[Retail Price]]-Table2410[[#This Row],[Supplier Price]]</f>
        <v>33</v>
      </c>
      <c r="E25" s="21"/>
      <c r="F25" s="26"/>
      <c r="G25" s="15">
        <v>0</v>
      </c>
      <c r="H25" s="6">
        <f>Table2410[[#This Row],[Quantity Sold]]*Table2410[[#This Row],[Profit Margin]]</f>
        <v>0</v>
      </c>
      <c r="I25" s="19"/>
    </row>
    <row r="26" spans="1:9" x14ac:dyDescent="0.3">
      <c r="A26" s="4"/>
      <c r="B26" s="1">
        <v>64</v>
      </c>
      <c r="C26" s="38">
        <v>105</v>
      </c>
      <c r="D26" s="2">
        <f>Table2410[[#This Row],[Retail Price]]-Table2410[[#This Row],[Supplier Price]]</f>
        <v>41</v>
      </c>
      <c r="E26" s="21"/>
      <c r="F26" s="26"/>
      <c r="G26" s="15">
        <v>0</v>
      </c>
      <c r="H26" s="6">
        <f>Table2410[[#This Row],[Quantity Sold]]*Table2410[[#This Row],[Profit Margin]]</f>
        <v>0</v>
      </c>
      <c r="I26" s="19"/>
    </row>
    <row r="27" spans="1:9" x14ac:dyDescent="0.3">
      <c r="A27" s="4"/>
      <c r="B27" s="1">
        <v>73</v>
      </c>
      <c r="C27" s="38">
        <v>125</v>
      </c>
      <c r="D27" s="2">
        <f>Table2410[[#This Row],[Retail Price]]-Table2410[[#This Row],[Supplier Price]]</f>
        <v>52</v>
      </c>
      <c r="E27" s="21"/>
      <c r="F27" s="26"/>
      <c r="G27" s="15">
        <v>0</v>
      </c>
      <c r="H27" s="6">
        <f>Table2410[[#This Row],[Quantity Sold]]*Table2410[[#This Row],[Profit Margin]]</f>
        <v>0</v>
      </c>
      <c r="I27" s="19"/>
    </row>
    <row r="28" spans="1:9" x14ac:dyDescent="0.3">
      <c r="A28" s="4"/>
      <c r="B28" s="1">
        <v>81</v>
      </c>
      <c r="C28" s="38">
        <v>145</v>
      </c>
      <c r="D28" s="2">
        <f>Table2410[[#This Row],[Retail Price]]-Table2410[[#This Row],[Supplier Price]]</f>
        <v>64</v>
      </c>
      <c r="E28" s="21"/>
      <c r="F28" s="26"/>
      <c r="G28" s="15">
        <v>0</v>
      </c>
      <c r="H28" s="6">
        <f>Table2410[[#This Row],[Quantity Sold]]*Table2410[[#This Row],[Profit Margin]]</f>
        <v>0</v>
      </c>
      <c r="I28" s="19"/>
    </row>
    <row r="29" spans="1:9" x14ac:dyDescent="0.3">
      <c r="A29" s="4"/>
      <c r="B29" s="1">
        <v>104</v>
      </c>
      <c r="C29" s="38">
        <v>160</v>
      </c>
      <c r="D29" s="2">
        <f>Table2410[[#This Row],[Retail Price]]-Table2410[[#This Row],[Supplier Price]]</f>
        <v>56</v>
      </c>
      <c r="E29" s="21"/>
      <c r="F29" s="26"/>
      <c r="G29" s="15">
        <v>0</v>
      </c>
      <c r="H29" s="6">
        <f>Table2410[[#This Row],[Quantity Sold]]*Table2410[[#This Row],[Profit Margin]]</f>
        <v>0</v>
      </c>
      <c r="I29" s="19"/>
    </row>
    <row r="30" spans="1:9" x14ac:dyDescent="0.3">
      <c r="A30" s="4"/>
      <c r="B30" s="1">
        <v>110</v>
      </c>
      <c r="C30" s="38">
        <v>175</v>
      </c>
      <c r="D30" s="2">
        <f>Table2410[[#This Row],[Retail Price]]-Table2410[[#This Row],[Supplier Price]]</f>
        <v>65</v>
      </c>
      <c r="E30" s="21"/>
      <c r="F30" s="26"/>
      <c r="G30" s="15">
        <v>0</v>
      </c>
      <c r="H30" s="6">
        <f>Table2410[[#This Row],[Quantity Sold]]*Table2410[[#This Row],[Profit Margin]]</f>
        <v>0</v>
      </c>
      <c r="I30" s="19"/>
    </row>
    <row r="31" spans="1:9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4"/>
      <c r="B32" s="1"/>
      <c r="C32" s="38"/>
      <c r="D32" s="2">
        <f>Table2410[[#This Row],[Retail Price]]-Table2410[[#This Row],[Supplier Price]]</f>
        <v>0</v>
      </c>
      <c r="E32" s="21"/>
      <c r="F32" s="26"/>
      <c r="G32" s="15">
        <v>0</v>
      </c>
      <c r="H32" s="6">
        <f>Table2410[[#This Row],[Quantity Sold]]*Table2410[[#This Row],[Profit Margin]]</f>
        <v>0</v>
      </c>
      <c r="I32" s="19"/>
    </row>
    <row r="33" spans="1:9" x14ac:dyDescent="0.3">
      <c r="A33" s="4"/>
      <c r="B33" s="1"/>
      <c r="C33" s="38"/>
      <c r="D33" s="2">
        <f>Table2410[[#This Row],[Retail Price]]-Table2410[[#This Row],[Supplier Price]]</f>
        <v>0</v>
      </c>
      <c r="E33" s="21"/>
      <c r="F33" s="26"/>
      <c r="G33" s="15">
        <v>0</v>
      </c>
      <c r="H33" s="6">
        <f>Table2410[[#This Row],[Quantity Sold]]*Table2410[[#This Row],[Profit Margin]]</f>
        <v>0</v>
      </c>
      <c r="I33" s="19"/>
    </row>
    <row r="34" spans="1:9" x14ac:dyDescent="0.3">
      <c r="A34" s="4"/>
      <c r="B34" s="1"/>
      <c r="C34" s="38"/>
      <c r="D34" s="2">
        <f>Table2410[[#This Row],[Retail Price]]-Table2410[[#This Row],[Supplier Price]]</f>
        <v>0</v>
      </c>
      <c r="E34" s="21"/>
      <c r="F34" s="26"/>
      <c r="G34" s="15">
        <v>0</v>
      </c>
      <c r="H34" s="6">
        <f>Table2410[[#This Row],[Quantity Sold]]*Table2410[[#This Row],[Profit Margin]]</f>
        <v>0</v>
      </c>
      <c r="I34" s="1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7943-AECE-41E2-AB3A-CB93B96E9825}">
  <dimension ref="A1:I16"/>
  <sheetViews>
    <sheetView zoomScaleNormal="100" workbookViewId="0">
      <selection activeCell="D3" sqref="D3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9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9" x14ac:dyDescent="0.3">
      <c r="A2" s="4"/>
      <c r="B2" s="2">
        <v>0</v>
      </c>
      <c r="C2" s="2">
        <v>0</v>
      </c>
      <c r="D2" s="2">
        <f>Table24567[[#This Row],[Retail Price]]-Table24567[[#This Row],[Supplier Price]]</f>
        <v>0</v>
      </c>
      <c r="E2" s="21"/>
      <c r="F2" s="26"/>
      <c r="G2" s="15">
        <v>0</v>
      </c>
      <c r="H2" s="6">
        <f>Table24567[[#This Row],[Quantity Sold]]*Table24567[[#This Row],[Profit Margin]]</f>
        <v>0</v>
      </c>
      <c r="I2" s="19">
        <f t="shared" ref="I2" si="0">SUM(H:H)</f>
        <v>0</v>
      </c>
    </row>
    <row r="3" spans="1:9" x14ac:dyDescent="0.3">
      <c r="A3" s="5"/>
      <c r="B3" s="2">
        <v>0</v>
      </c>
      <c r="C3" s="2">
        <v>0</v>
      </c>
      <c r="D3" s="3">
        <f>Table24567[[#This Row],[Retail Price]]-Table24567[[#This Row],[Supplier Price]]</f>
        <v>0</v>
      </c>
      <c r="E3" s="22"/>
      <c r="F3" s="27"/>
      <c r="G3" s="15">
        <v>0</v>
      </c>
      <c r="H3" s="7">
        <f>Table24567[[#This Row],[Quantity Sold]]*Table24567[[#This Row],[Profit Margin]]</f>
        <v>0</v>
      </c>
      <c r="I3" s="19"/>
    </row>
    <row r="4" spans="1:9" x14ac:dyDescent="0.3">
      <c r="A4" s="4"/>
      <c r="B4" s="2">
        <v>0</v>
      </c>
      <c r="C4" s="2">
        <v>0</v>
      </c>
      <c r="D4" s="2">
        <f>Table24567[[#This Row],[Retail Price]]-Table24567[[#This Row],[Supplier Price]]</f>
        <v>0</v>
      </c>
      <c r="E4" s="21"/>
      <c r="F4" s="26"/>
      <c r="G4" s="15">
        <v>0</v>
      </c>
      <c r="H4" s="6">
        <f>Table24567[[#This Row],[Quantity Sold]]*Table24567[[#This Row],[Profit Margin]]</f>
        <v>0</v>
      </c>
      <c r="I4" s="19"/>
    </row>
    <row r="5" spans="1:9" x14ac:dyDescent="0.3">
      <c r="A5" s="5"/>
      <c r="B5" s="2">
        <v>0</v>
      </c>
      <c r="C5" s="2">
        <v>0</v>
      </c>
      <c r="D5" s="3">
        <f>Table24567[[#This Row],[Retail Price]]-Table24567[[#This Row],[Supplier Price]]</f>
        <v>0</v>
      </c>
      <c r="E5" s="22"/>
      <c r="F5" s="27"/>
      <c r="G5" s="15">
        <v>0</v>
      </c>
      <c r="H5" s="7">
        <f>Table24567[[#This Row],[Quantity Sold]]*Table24567[[#This Row],[Profit Margin]]</f>
        <v>0</v>
      </c>
      <c r="I5" s="19"/>
    </row>
    <row r="6" spans="1:9" x14ac:dyDescent="0.3">
      <c r="A6" s="4"/>
      <c r="B6" s="2">
        <v>0</v>
      </c>
      <c r="C6" s="2">
        <v>0</v>
      </c>
      <c r="D6" s="2">
        <f>Table24567[[#This Row],[Retail Price]]-Table24567[[#This Row],[Supplier Price]]</f>
        <v>0</v>
      </c>
      <c r="E6" s="21"/>
      <c r="F6" s="26"/>
      <c r="G6" s="15">
        <v>0</v>
      </c>
      <c r="H6" s="6">
        <f>Table24567[[#This Row],[Quantity Sold]]*Table24567[[#This Row],[Profit Margin]]</f>
        <v>0</v>
      </c>
      <c r="I6" s="19"/>
    </row>
    <row r="7" spans="1:9" x14ac:dyDescent="0.3">
      <c r="A7" s="5"/>
      <c r="B7" s="2">
        <v>0</v>
      </c>
      <c r="C7" s="2">
        <v>0</v>
      </c>
      <c r="D7" s="3">
        <f>Table24567[[#This Row],[Retail Price]]-Table24567[[#This Row],[Supplier Price]]</f>
        <v>0</v>
      </c>
      <c r="E7" s="22"/>
      <c r="F7" s="27"/>
      <c r="G7" s="15">
        <v>0</v>
      </c>
      <c r="H7" s="7">
        <f>Table24567[[#This Row],[Quantity Sold]]*Table24567[[#This Row],[Profit Margin]]</f>
        <v>0</v>
      </c>
      <c r="I7" s="19"/>
    </row>
    <row r="8" spans="1:9" x14ac:dyDescent="0.3">
      <c r="A8" s="4"/>
      <c r="B8" s="2">
        <v>0</v>
      </c>
      <c r="C8" s="2">
        <v>0</v>
      </c>
      <c r="D8" s="2">
        <f>Table24567[[#This Row],[Retail Price]]-Table24567[[#This Row],[Supplier Price]]</f>
        <v>0</v>
      </c>
      <c r="E8" s="21"/>
      <c r="F8" s="26"/>
      <c r="G8" s="15">
        <v>0</v>
      </c>
      <c r="H8" s="6">
        <f>Table24567[[#This Row],[Quantity Sold]]*Table24567[[#This Row],[Profit Margin]]</f>
        <v>0</v>
      </c>
      <c r="I8" s="19"/>
    </row>
    <row r="9" spans="1:9" x14ac:dyDescent="0.3">
      <c r="A9" s="5"/>
      <c r="B9" s="2">
        <v>0</v>
      </c>
      <c r="C9" s="2">
        <v>0</v>
      </c>
      <c r="D9" s="3">
        <f>Table24567[[#This Row],[Retail Price]]-Table24567[[#This Row],[Supplier Price]]</f>
        <v>0</v>
      </c>
      <c r="E9" s="22"/>
      <c r="F9" s="27"/>
      <c r="G9" s="15">
        <v>0</v>
      </c>
      <c r="H9" s="7">
        <f>Table24567[[#This Row],[Quantity Sold]]*Table24567[[#This Row],[Profit Margin]]</f>
        <v>0</v>
      </c>
      <c r="I9" s="19"/>
    </row>
    <row r="10" spans="1:9" x14ac:dyDescent="0.3">
      <c r="A10" s="4"/>
      <c r="B10" s="2">
        <v>0</v>
      </c>
      <c r="C10" s="2">
        <v>0</v>
      </c>
      <c r="D10" s="2">
        <f>Table24567[[#This Row],[Retail Price]]-Table24567[[#This Row],[Supplier Price]]</f>
        <v>0</v>
      </c>
      <c r="E10" s="21"/>
      <c r="F10" s="26"/>
      <c r="G10" s="15">
        <v>0</v>
      </c>
      <c r="H10" s="6">
        <f>Table24567[[#This Row],[Quantity Sold]]*Table24567[[#This Row],[Profit Margin]]</f>
        <v>0</v>
      </c>
      <c r="I10" s="19"/>
    </row>
    <row r="11" spans="1:9" x14ac:dyDescent="0.3">
      <c r="A11" s="5"/>
      <c r="B11" s="2">
        <v>0</v>
      </c>
      <c r="C11" s="2">
        <v>0</v>
      </c>
      <c r="D11" s="3">
        <f>Table24567[[#This Row],[Retail Price]]-Table24567[[#This Row],[Supplier Price]]</f>
        <v>0</v>
      </c>
      <c r="E11" s="22"/>
      <c r="F11" s="27"/>
      <c r="G11" s="15">
        <v>0</v>
      </c>
      <c r="H11" s="7">
        <f>Table24567[[#This Row],[Quantity Sold]]*Table24567[[#This Row],[Profit Margin]]</f>
        <v>0</v>
      </c>
      <c r="I11" s="19"/>
    </row>
    <row r="12" spans="1:9" x14ac:dyDescent="0.3">
      <c r="A12" s="4"/>
      <c r="B12" s="2">
        <v>0</v>
      </c>
      <c r="C12" s="2">
        <v>0</v>
      </c>
      <c r="D12" s="2">
        <f>Table24567[[#This Row],[Retail Price]]-Table24567[[#This Row],[Supplier Price]]</f>
        <v>0</v>
      </c>
      <c r="E12" s="21"/>
      <c r="F12" s="26"/>
      <c r="G12" s="15">
        <v>0</v>
      </c>
      <c r="H12" s="6">
        <f>Table24567[[#This Row],[Quantity Sold]]*Table24567[[#This Row],[Profit Margin]]</f>
        <v>0</v>
      </c>
      <c r="I12" s="19"/>
    </row>
    <row r="13" spans="1:9" x14ac:dyDescent="0.3">
      <c r="A13" s="5"/>
      <c r="B13" s="2">
        <v>0</v>
      </c>
      <c r="C13" s="2">
        <v>0</v>
      </c>
      <c r="D13" s="3">
        <f>Table24567[[#This Row],[Retail Price]]-Table24567[[#This Row],[Supplier Price]]</f>
        <v>0</v>
      </c>
      <c r="E13" s="22"/>
      <c r="F13" s="27"/>
      <c r="G13" s="15">
        <v>0</v>
      </c>
      <c r="H13" s="7">
        <f>Table24567[[#This Row],[Quantity Sold]]*Table24567[[#This Row],[Profit Margin]]</f>
        <v>0</v>
      </c>
      <c r="I13" s="19"/>
    </row>
    <row r="14" spans="1:9" x14ac:dyDescent="0.3">
      <c r="A14" s="4"/>
      <c r="B14" s="2">
        <v>0</v>
      </c>
      <c r="C14" s="2">
        <v>0</v>
      </c>
      <c r="D14" s="2">
        <f>Table24567[[#This Row],[Retail Price]]-Table24567[[#This Row],[Supplier Price]]</f>
        <v>0</v>
      </c>
      <c r="E14" s="21"/>
      <c r="F14" s="26"/>
      <c r="G14" s="15">
        <v>0</v>
      </c>
      <c r="H14" s="6">
        <f>Table24567[[#This Row],[Quantity Sold]]*Table24567[[#This Row],[Profit Margin]]</f>
        <v>0</v>
      </c>
      <c r="I14" s="19"/>
    </row>
    <row r="15" spans="1:9" x14ac:dyDescent="0.3">
      <c r="A15" s="5"/>
      <c r="B15" s="2">
        <v>0</v>
      </c>
      <c r="C15" s="2">
        <v>0</v>
      </c>
      <c r="D15" s="3">
        <f>Table24567[[#This Row],[Retail Price]]-Table24567[[#This Row],[Supplier Price]]</f>
        <v>0</v>
      </c>
      <c r="E15" s="22"/>
      <c r="F15" s="27"/>
      <c r="G15" s="15">
        <v>0</v>
      </c>
      <c r="H15" s="7">
        <f>Table24567[[#This Row],[Quantity Sold]]*Table24567[[#This Row],[Profit Margin]]</f>
        <v>0</v>
      </c>
      <c r="I15" s="19"/>
    </row>
    <row r="16" spans="1:9" x14ac:dyDescent="0.3">
      <c r="A16" s="12"/>
      <c r="B16" s="2">
        <v>0</v>
      </c>
      <c r="C16" s="2">
        <v>0</v>
      </c>
      <c r="D16" s="13">
        <f>Table24567[[#This Row],[Retail Price]]-Table24567[[#This Row],[Supplier Price]]</f>
        <v>0</v>
      </c>
      <c r="E16" s="23"/>
      <c r="F16" s="28"/>
      <c r="G16" s="15">
        <v>0</v>
      </c>
      <c r="H16" s="14">
        <f>Table24567[[#This Row],[Quantity Sold]]*Table24567[[#This Row],[Profit Margin]]</f>
        <v>0</v>
      </c>
      <c r="I16" s="1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D299-51C6-483A-9610-275873406DAA}">
  <dimension ref="A1:I16"/>
  <sheetViews>
    <sheetView zoomScaleNormal="100" workbookViewId="0">
      <selection activeCell="F20" sqref="F20"/>
    </sheetView>
  </sheetViews>
  <sheetFormatPr defaultRowHeight="14.4" x14ac:dyDescent="0.3"/>
  <cols>
    <col min="1" max="1" width="20.5546875" customWidth="1"/>
    <col min="2" max="2" width="21.109375" customWidth="1"/>
    <col min="3" max="3" width="17.88671875" customWidth="1"/>
    <col min="4" max="4" width="16.88671875" customWidth="1"/>
    <col min="5" max="5" width="14.77734375" style="24" customWidth="1"/>
    <col min="6" max="6" width="13.77734375" style="24" customWidth="1"/>
    <col min="7" max="7" width="14.109375" style="17" customWidth="1"/>
    <col min="8" max="8" width="13.88671875" customWidth="1"/>
    <col min="9" max="9" width="15.6640625" customWidth="1"/>
  </cols>
  <sheetData>
    <row r="1" spans="1:9" ht="37.200000000000003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25" t="s">
        <v>4</v>
      </c>
      <c r="F1" s="20" t="s">
        <v>5</v>
      </c>
      <c r="G1" s="18" t="s">
        <v>6</v>
      </c>
      <c r="H1" s="11" t="s">
        <v>7</v>
      </c>
      <c r="I1" s="10" t="s">
        <v>8</v>
      </c>
    </row>
    <row r="2" spans="1:9" x14ac:dyDescent="0.3">
      <c r="A2" s="4"/>
      <c r="B2" s="2">
        <v>0</v>
      </c>
      <c r="C2" s="2">
        <v>0</v>
      </c>
      <c r="D2" s="2">
        <f>Table2456[[#This Row],[Retail Price]]-Table2456[[#This Row],[Supplier Price]]</f>
        <v>0</v>
      </c>
      <c r="E2" s="21"/>
      <c r="F2" s="26"/>
      <c r="G2" s="15">
        <v>0</v>
      </c>
      <c r="H2" s="6">
        <f>Table2456[[#This Row],[Quantity Sold]]*Table2456[[#This Row],[Profit Margin]]</f>
        <v>0</v>
      </c>
      <c r="I2" s="19">
        <f t="shared" ref="I2" si="0">SUM(H:H)</f>
        <v>0</v>
      </c>
    </row>
    <row r="3" spans="1:9" x14ac:dyDescent="0.3">
      <c r="A3" s="5"/>
      <c r="B3" s="2">
        <v>0</v>
      </c>
      <c r="C3" s="2">
        <v>0</v>
      </c>
      <c r="D3" s="3">
        <f>Table2456[[#This Row],[Retail Price]]-Table2456[[#This Row],[Supplier Price]]</f>
        <v>0</v>
      </c>
      <c r="E3" s="22"/>
      <c r="F3" s="27"/>
      <c r="G3" s="15">
        <v>0</v>
      </c>
      <c r="H3" s="7">
        <f>Table2456[[#This Row],[Quantity Sold]]*Table2456[[#This Row],[Profit Margin]]</f>
        <v>0</v>
      </c>
      <c r="I3" s="19"/>
    </row>
    <row r="4" spans="1:9" x14ac:dyDescent="0.3">
      <c r="A4" s="4"/>
      <c r="B4" s="2">
        <v>0</v>
      </c>
      <c r="C4" s="2">
        <v>0</v>
      </c>
      <c r="D4" s="2">
        <f>Table2456[[#This Row],[Retail Price]]-Table2456[[#This Row],[Supplier Price]]</f>
        <v>0</v>
      </c>
      <c r="E4" s="21"/>
      <c r="F4" s="26"/>
      <c r="G4" s="15">
        <v>0</v>
      </c>
      <c r="H4" s="6">
        <f>Table2456[[#This Row],[Quantity Sold]]*Table2456[[#This Row],[Profit Margin]]</f>
        <v>0</v>
      </c>
      <c r="I4" s="19"/>
    </row>
    <row r="5" spans="1:9" x14ac:dyDescent="0.3">
      <c r="A5" s="5"/>
      <c r="B5" s="2">
        <v>0</v>
      </c>
      <c r="C5" s="2">
        <v>0</v>
      </c>
      <c r="D5" s="3">
        <f>Table2456[[#This Row],[Retail Price]]-Table2456[[#This Row],[Supplier Price]]</f>
        <v>0</v>
      </c>
      <c r="E5" s="22"/>
      <c r="F5" s="27"/>
      <c r="G5" s="15">
        <v>0</v>
      </c>
      <c r="H5" s="7">
        <f>Table2456[[#This Row],[Quantity Sold]]*Table2456[[#This Row],[Profit Margin]]</f>
        <v>0</v>
      </c>
      <c r="I5" s="19"/>
    </row>
    <row r="6" spans="1:9" x14ac:dyDescent="0.3">
      <c r="A6" s="4"/>
      <c r="B6" s="2">
        <v>0</v>
      </c>
      <c r="C6" s="2">
        <v>0</v>
      </c>
      <c r="D6" s="2">
        <f>Table2456[[#This Row],[Retail Price]]-Table2456[[#This Row],[Supplier Price]]</f>
        <v>0</v>
      </c>
      <c r="E6" s="21"/>
      <c r="F6" s="26"/>
      <c r="G6" s="15">
        <v>0</v>
      </c>
      <c r="H6" s="6">
        <f>Table2456[[#This Row],[Quantity Sold]]*Table2456[[#This Row],[Profit Margin]]</f>
        <v>0</v>
      </c>
      <c r="I6" s="19"/>
    </row>
    <row r="7" spans="1:9" x14ac:dyDescent="0.3">
      <c r="A7" s="5"/>
      <c r="B7" s="2">
        <v>0</v>
      </c>
      <c r="C7" s="2">
        <v>0</v>
      </c>
      <c r="D7" s="3">
        <f>Table2456[[#This Row],[Retail Price]]-Table2456[[#This Row],[Supplier Price]]</f>
        <v>0</v>
      </c>
      <c r="E7" s="22"/>
      <c r="F7" s="27"/>
      <c r="G7" s="15">
        <v>0</v>
      </c>
      <c r="H7" s="7">
        <f>Table2456[[#This Row],[Quantity Sold]]*Table2456[[#This Row],[Profit Margin]]</f>
        <v>0</v>
      </c>
      <c r="I7" s="19"/>
    </row>
    <row r="8" spans="1:9" x14ac:dyDescent="0.3">
      <c r="A8" s="4"/>
      <c r="B8" s="2">
        <v>0</v>
      </c>
      <c r="C8" s="2">
        <v>0</v>
      </c>
      <c r="D8" s="2">
        <f>Table2456[[#This Row],[Retail Price]]-Table2456[[#This Row],[Supplier Price]]</f>
        <v>0</v>
      </c>
      <c r="E8" s="21"/>
      <c r="F8" s="26"/>
      <c r="G8" s="15">
        <v>0</v>
      </c>
      <c r="H8" s="6">
        <f>Table2456[[#This Row],[Quantity Sold]]*Table2456[[#This Row],[Profit Margin]]</f>
        <v>0</v>
      </c>
      <c r="I8" s="19"/>
    </row>
    <row r="9" spans="1:9" x14ac:dyDescent="0.3">
      <c r="A9" s="5"/>
      <c r="B9" s="2">
        <v>0</v>
      </c>
      <c r="C9" s="2">
        <v>0</v>
      </c>
      <c r="D9" s="3">
        <f>Table2456[[#This Row],[Retail Price]]-Table2456[[#This Row],[Supplier Price]]</f>
        <v>0</v>
      </c>
      <c r="E9" s="22"/>
      <c r="F9" s="27"/>
      <c r="G9" s="15">
        <v>0</v>
      </c>
      <c r="H9" s="7">
        <f>Table2456[[#This Row],[Quantity Sold]]*Table2456[[#This Row],[Profit Margin]]</f>
        <v>0</v>
      </c>
      <c r="I9" s="19"/>
    </row>
    <row r="10" spans="1:9" x14ac:dyDescent="0.3">
      <c r="A10" s="4"/>
      <c r="B10" s="2">
        <v>0</v>
      </c>
      <c r="C10" s="2">
        <v>0</v>
      </c>
      <c r="D10" s="2">
        <f>Table2456[[#This Row],[Retail Price]]-Table2456[[#This Row],[Supplier Price]]</f>
        <v>0</v>
      </c>
      <c r="E10" s="21"/>
      <c r="F10" s="26"/>
      <c r="G10" s="15">
        <v>0</v>
      </c>
      <c r="H10" s="6">
        <f>Table2456[[#This Row],[Quantity Sold]]*Table2456[[#This Row],[Profit Margin]]</f>
        <v>0</v>
      </c>
      <c r="I10" s="19"/>
    </row>
    <row r="11" spans="1:9" x14ac:dyDescent="0.3">
      <c r="A11" s="5"/>
      <c r="B11" s="2">
        <v>0</v>
      </c>
      <c r="C11" s="2">
        <v>0</v>
      </c>
      <c r="D11" s="3">
        <f>Table2456[[#This Row],[Retail Price]]-Table2456[[#This Row],[Supplier Price]]</f>
        <v>0</v>
      </c>
      <c r="E11" s="22"/>
      <c r="F11" s="27"/>
      <c r="G11" s="15">
        <v>0</v>
      </c>
      <c r="H11" s="7">
        <f>Table2456[[#This Row],[Quantity Sold]]*Table2456[[#This Row],[Profit Margin]]</f>
        <v>0</v>
      </c>
      <c r="I11" s="19"/>
    </row>
    <row r="12" spans="1:9" x14ac:dyDescent="0.3">
      <c r="A12" s="4"/>
      <c r="B12" s="2">
        <v>0</v>
      </c>
      <c r="C12" s="2">
        <v>0</v>
      </c>
      <c r="D12" s="2">
        <f>Table2456[[#This Row],[Retail Price]]-Table2456[[#This Row],[Supplier Price]]</f>
        <v>0</v>
      </c>
      <c r="E12" s="21"/>
      <c r="F12" s="26"/>
      <c r="G12" s="15">
        <v>0</v>
      </c>
      <c r="H12" s="6">
        <f>Table2456[[#This Row],[Quantity Sold]]*Table2456[[#This Row],[Profit Margin]]</f>
        <v>0</v>
      </c>
      <c r="I12" s="19"/>
    </row>
    <row r="13" spans="1:9" x14ac:dyDescent="0.3">
      <c r="A13" s="5"/>
      <c r="B13" s="2">
        <v>0</v>
      </c>
      <c r="C13" s="2">
        <v>0</v>
      </c>
      <c r="D13" s="3">
        <f>Table2456[[#This Row],[Retail Price]]-Table2456[[#This Row],[Supplier Price]]</f>
        <v>0</v>
      </c>
      <c r="E13" s="22"/>
      <c r="F13" s="27"/>
      <c r="G13" s="15">
        <v>0</v>
      </c>
      <c r="H13" s="7">
        <f>Table2456[[#This Row],[Quantity Sold]]*Table2456[[#This Row],[Profit Margin]]</f>
        <v>0</v>
      </c>
      <c r="I13" s="19"/>
    </row>
    <row r="14" spans="1:9" x14ac:dyDescent="0.3">
      <c r="A14" s="4"/>
      <c r="B14" s="2">
        <v>0</v>
      </c>
      <c r="C14" s="2">
        <v>0</v>
      </c>
      <c r="D14" s="2">
        <f>Table2456[[#This Row],[Retail Price]]-Table2456[[#This Row],[Supplier Price]]</f>
        <v>0</v>
      </c>
      <c r="E14" s="21"/>
      <c r="F14" s="26"/>
      <c r="G14" s="15">
        <v>0</v>
      </c>
      <c r="H14" s="6">
        <f>Table2456[[#This Row],[Quantity Sold]]*Table2456[[#This Row],[Profit Margin]]</f>
        <v>0</v>
      </c>
      <c r="I14" s="19"/>
    </row>
    <row r="15" spans="1:9" x14ac:dyDescent="0.3">
      <c r="A15" s="5"/>
      <c r="B15" s="2">
        <v>0</v>
      </c>
      <c r="C15" s="2">
        <v>0</v>
      </c>
      <c r="D15" s="3">
        <f>Table2456[[#This Row],[Retail Price]]-Table2456[[#This Row],[Supplier Price]]</f>
        <v>0</v>
      </c>
      <c r="E15" s="22"/>
      <c r="F15" s="27"/>
      <c r="G15" s="15">
        <v>0</v>
      </c>
      <c r="H15" s="7">
        <f>Table2456[[#This Row],[Quantity Sold]]*Table2456[[#This Row],[Profit Margin]]</f>
        <v>0</v>
      </c>
      <c r="I15" s="19"/>
    </row>
    <row r="16" spans="1:9" x14ac:dyDescent="0.3">
      <c r="A16" s="12"/>
      <c r="B16" s="2">
        <v>0</v>
      </c>
      <c r="C16" s="2">
        <v>0</v>
      </c>
      <c r="D16" s="13">
        <f>Table2456[[#This Row],[Retail Price]]-Table2456[[#This Row],[Supplier Price]]</f>
        <v>0</v>
      </c>
      <c r="E16" s="23"/>
      <c r="F16" s="28"/>
      <c r="G16" s="15">
        <v>0</v>
      </c>
      <c r="H16" s="14">
        <f>Table2456[[#This Row],[Quantity Sold]]*Table2456[[#This Row],[Profit Margin]]</f>
        <v>0</v>
      </c>
      <c r="I16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Kotkey Pads</vt:lpstr>
      <vt:lpstr>Gaming Pads</vt:lpstr>
      <vt:lpstr>Info Pads</vt:lpstr>
      <vt:lpstr>Reference Tables</vt:lpstr>
      <vt:lpstr>Software Suites</vt:lpstr>
      <vt:lpstr>Custom Templates</vt:lpstr>
      <vt:lpstr>Posters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Svendsen</dc:creator>
  <cp:lastModifiedBy>Evan Svendsen</cp:lastModifiedBy>
  <dcterms:created xsi:type="dcterms:W3CDTF">2025-04-14T08:06:38Z</dcterms:created>
  <dcterms:modified xsi:type="dcterms:W3CDTF">2025-04-14T09:31:34Z</dcterms:modified>
</cp:coreProperties>
</file>